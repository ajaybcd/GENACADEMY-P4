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4f4590053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52193283d949a1"/>
    <x:sheet xmlns:r="http://schemas.openxmlformats.org/officeDocument/2006/relationships" name="Evaluation" sheetId="2" r:id="Rc21687c6045e4bf2"/>
    <x:sheet xmlns:r="http://schemas.openxmlformats.org/officeDocument/2006/relationships" name="Failure analysis" sheetId="3" r:id="R78ef17ffcd264bd3"/>
    <x:sheet xmlns:r="http://schemas.openxmlformats.org/officeDocument/2006/relationships" name="Fresh evaluation" sheetId="4" r:id="R88fd633c9813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+0.0;-0.0;0.0"/>
    <x:numFmt numFmtId="202" formatCode="0"/>
  </x:numFmts>
  <x:fonts count="4">
    <x:font>
      <x:sz val="11"/>
      <x:name val="Carlito"/>
    </x:font>
    <x:font>
      <x:sz val="10"/>
      <x:color rgb="FF172335"/>
      <x:name val="Arial"/>
    </x:font>
    <x:font>
      <x:b/>
      <x:sz val="15"/>
      <x:color rgb="FF17233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62"/>
      </x:patternFill>
    </x:fill>
    <x:fill>
      <x:patternFill patternType="solid">
        <x:fgColor rgb="FFFFF2CC"/>
      </x:patternFill>
    </x:fill>
    <x:fill>
      <x:patternFill patternType="solid">
        <x:fgColor rgb="FF203B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2020"/>
      </x:font>
      <x:fill>
        <x:patternFill>
          <x:bgColor rgb="FFFCE4E4"/>
        </x:patternFill>
      </x:fill>
    </x:dxf>
    <x:dxf>
      <x:font>
        <x:b/>
        <x:color rgb="FF9C2020"/>
      </x:font>
      <x:fill>
        <x:patternFill>
          <x:bgColor rgb="FFFCE4E4"/>
        </x:patternFill>
      </x:fill>
    </x:dxf>
    <x:dxf>
      <x:font>
        <x:b/>
        <x:color rgb="FF9C2020"/>
      </x:font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d59cffbd04555" /><Relationship Type="http://schemas.openxmlformats.org/officeDocument/2006/relationships/theme" Target="/xl/theme/theme1.xml" Id="R0e7eabc21ea14653" /><Relationship Type="http://schemas.openxmlformats.org/officeDocument/2006/relationships/sharedStrings" Target="/xl/sharedStrings.xml" Id="R3789b511e880456d" /><Relationship Type="http://schemas.openxmlformats.org/officeDocument/2006/relationships/worksheet" Target="/xl/worksheets/sheet1.xml" Id="R0152193283d949a1" /><Relationship Type="http://schemas.openxmlformats.org/officeDocument/2006/relationships/worksheet" Target="/xl/worksheets/sheet2.xml" Id="Rc21687c6045e4bf2" /><Relationship Type="http://schemas.openxmlformats.org/officeDocument/2006/relationships/worksheet" Target="/xl/worksheets/sheet3.xml" Id="R78ef17ffcd264bd3" /><Relationship Type="http://schemas.openxmlformats.org/officeDocument/2006/relationships/worksheet" Target="/xl/worksheets/sheet4.xml" Id="R88fd633c9813402c" /></Relationships>
</file>

<file path=xl/tables/table1.xml><?xml version="1.0" encoding="utf-8"?>
<x:table xmlns:x="http://schemas.openxmlformats.org/spreadsheetml/2006/main" id="1" name="TicketReview" displayName="TicketReview" ref="A5:O105" headerRowCount="1" totalsRowCount="0" totalsRowShown="0">
  <x:tableColumns count="15">
    <x:tableColumn id="1" name="ID"/>
    <x:tableColumn id="2" name="Customer query"/>
    <x:tableColumn id="3" name="Source intent"/>
    <x:tableColumn id="4" name="Reviewed intent"/>
    <x:tableColumn id="5" name="Baseline prediction"/>
    <x:tableColumn id="6" name="Baseline result"/>
    <x:tableColumn id="7" name="Upstream revised prediction"/>
    <x:tableColumn id="8" name="Revised result"/>
    <x:tableColumn id="9" name="Change"/>
    <x:tableColumn id="10" name="AI draft failure category"/>
    <x:tableColumn id="11" name="AI draft review note"/>
    <x:tableColumn id="12" name="Participant notes"/>
    <x:tableColumn id="13" name="Participant approval"/>
    <x:tableColumn id="14" name="Baseline score"/>
    <x:tableColumn id="15" name="Revised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shTicketReview" displayName="FreshTicketReview" ref="A5:O105" headerRowCount="1" totalsRowCount="0" totalsRowShown="0">
  <x:tableColumns count="15">
    <x:tableColumn id="1" name="ID"/>
    <x:tableColumn id="2" name="Customer query"/>
    <x:tableColumn id="3" name="Source intent"/>
    <x:tableColumn id="4" name="Reviewed intent"/>
    <x:tableColumn id="5" name="Fresh baseline prediction"/>
    <x:tableColumn id="6" name="Baseline result"/>
    <x:tableColumn id="7" name="Focused prediction"/>
    <x:tableColumn id="8" name="Focused result"/>
    <x:tableColumn id="9" name="Change"/>
    <x:tableColumn id="10" name="AI draft failure category"/>
    <x:tableColumn id="11" name="AI draft review note"/>
    <x:tableColumn id="12" name="Participant notes"/>
    <x:tableColumn id="13" name="Participant approval"/>
    <x:tableColumn id="14" name="Baseline score"/>
    <x:tableColumn id="15" name="Focused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470559b3f3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44d0e4765e3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4" hidden="0" customWidth="1"/>
    <x:col min="3" max="3" width="13" hidden="0" customWidth="1"/>
    <x:col min="4" max="4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Customer support intent evaluation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7" t="str">
        <x:v>Fresh runs with reviewed labels</x:v>
      </x:c>
      <x:c r="B4" s="7" t="str">
        <x:v>Correct</x:v>
      </x:c>
      <x:c r="C4" s="7" t="str">
        <x:v>Tickets</x:v>
      </x:c>
      <x:c r="D4" s="7" t="str">
        <x:v>Accuracy</x:v>
      </x:c>
      <x:c r="E4" s="2"/>
      <x:c r="F4" s="2"/>
    </x:row>
    <x:row r="5">
      <x:c r="A5" s="2" t="str">
        <x:v>Baseline</x:v>
      </x:c>
      <x:c r="B5" s="2" t="n">
        <x:f>COUNTIFS('Fresh evaluation'!$F$6:$F$105,"PASS")</x:f>
        <x:v>93</x:v>
      </x:c>
      <x:c r="C5" s="2" t="n">
        <x:v>100</x:v>
      </x:c>
      <x:c r="D5" s="8" t="n">
        <x:f>B5/C5</x:f>
        <x:v>0.93</x:v>
      </x:c>
      <x:c r="E5" s="2"/>
      <x:c r="F5" s="2"/>
    </x:row>
    <x:row r="6">
      <x:c r="A6" s="2" t="str">
        <x:v>Focused prompt</x:v>
      </x:c>
      <x:c r="B6" s="2" t="n">
        <x:f>COUNTIFS('Fresh evaluation'!$H$6:$H$105,"PASS")</x:f>
        <x:v>93</x:v>
      </x:c>
      <x:c r="C6" s="2" t="n">
        <x:v>100</x:v>
      </x:c>
      <x:c r="D6" s="8" t="n">
        <x:f>B6/C6</x:f>
        <x:v>0.93</x:v>
      </x:c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Accuracy delta in percentage points</x:v>
      </x:c>
      <x:c r="B8" s="9" t="n">
        <x:f>(D6-D5)*100</x:f>
        <x:v>0</x:v>
      </x:c>
      <x:c r="C8" s="2"/>
      <x:c r="D8" s="2"/>
      <x:c r="E8" s="2"/>
      <x:c r="F8" s="2"/>
    </x:row>
    <x:row r="9">
      <x:c r="A9" s="2" t="str">
        <x:v>Wins</x:v>
      </x:c>
      <x:c r="B9" s="2" t="n">
        <x:f>COUNTIFS('Fresh evaluation'!$I$6:$I$105,"WIN")</x:f>
        <x:v>7</x:v>
      </x:c>
      <x:c r="C9" s="2"/>
      <x:c r="D9" s="2"/>
      <x:c r="E9" s="2"/>
      <x:c r="F9" s="2"/>
    </x:row>
    <x:row r="10">
      <x:c r="A10" s="2" t="str">
        <x:v>Regressions</x:v>
      </x:c>
      <x:c r="B10" s="2" t="n">
        <x:f>COUNTIFS('Fresh evaluation'!$I$6:$I$105,"REGRESSION")</x:f>
        <x:v>7</x:v>
      </x:c>
      <x:c r="C10" s="2"/>
      <x:c r="D10" s="2"/>
      <x:c r="E10" s="2"/>
      <x:c r="F10" s="2"/>
    </x:row>
    <x:row r="11">
      <x:c r="A11" s="2" t="str">
        <x:v>Still pass</x:v>
      </x:c>
      <x:c r="B11" s="2" t="n">
        <x:f>COUNTIFS('Fresh evaluation'!$I$6:$I$105,"STILL_PASS")</x:f>
        <x:v>86</x:v>
      </x:c>
      <x:c r="C11" s="2"/>
      <x:c r="D11" s="2"/>
      <x:c r="E11" s="2"/>
      <x:c r="F11" s="2"/>
    </x:row>
    <x:row r="12">
      <x:c r="A12" s="2" t="str">
        <x:v>Still fail</x:v>
      </x:c>
      <x:c r="B12" s="2" t="n">
        <x:f>COUNTIFS('Fresh evaluation'!$I$6:$I$105,"STILL_FAIL")</x:f>
        <x:v>0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32" customHeight="1">
      <x:c r="A15" s="7" t="str">
        <x:v>Required action</x:v>
      </x:c>
      <x:c r="B15" s="7" t="str">
        <x:v>Status</x:v>
      </x:c>
      <x:c r="C15" s="2"/>
      <x:c r="D15" s="2"/>
      <x:c r="E15" s="2"/>
      <x:c r="F15" s="2"/>
    </x:row>
    <x:row r="16" ht="27" customHeight="1">
      <x:c r="A16" s="2" t="str">
        <x:v>Focused prompt fresh run</x:v>
      </x:c>
      <x:c r="B16" s="2" t="str">
        <x:v>COMPLETE; 100 PAIRED RESULTS</x:v>
      </x:c>
      <x:c r="C16" s="2"/>
      <x:c r="D16" s="2"/>
      <x:c r="E16" s="2"/>
      <x:c r="F16" s="2"/>
    </x:row>
    <x:row r="17" ht="27" customHeight="1">
      <x:c r="A17" s="2" t="str">
        <x:v>Participant failure review</x:v>
      </x:c>
      <x:c r="B17" s="2" t="str">
        <x:f>IF(SUM(D33:D34)=0,"COMPLETE","PENDING")&amp;" - saved "&amp;B33&amp;"/"&amp;C33&amp;"; fresh "&amp;B34&amp;"/"&amp;C34</x:f>
        <x:v>COMPLETE - saved 11/11; fresh 14/14</x:v>
      </x:c>
      <x:c r="C17" s="2"/>
      <x:c r="D17" s="2"/>
      <x:c r="E17" s="2"/>
      <x:c r="F17" s="2"/>
    </x:row>
    <x:row r="18" ht="27" customHeight="1">
      <x:c r="A18" s="2" t="str">
        <x:v>LangSmith experiment evidence</x:v>
      </x:c>
      <x:c r="B18" s="2" t="str">
        <x:v>COMPLETE; LINKS IN REPORT</x:v>
      </x:c>
      <x:c r="C18" s="2"/>
      <x:c r="D18" s="2"/>
      <x:c r="E18" s="2"/>
      <x:c r="F18" s="2"/>
    </x:row>
    <x:row r="19" ht="27" customHeight="1">
      <x:c r="A19" s="2" t="str">
        <x:v>Loom walkthrough recording</x:v>
      </x:c>
      <x:c r="B19" s="2" t="str">
        <x:v>SCRIPT READY; RECORDING PENDING</x:v>
      </x:c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 ht="24" customHeight="1">
      <x:c r="A22" s="2" t="str">
        <x:v>Reviewed labels: both runs score 93%. Seven wins and seven regressions.</x:v>
      </x:c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 t="str">
        <x:v>Saved upstream broader revision: 92% to 97%, with eight wins and three regressions.</x:v>
      </x:c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 t="str">
        <x:v>25 seed families with three paraphrases each. Test unseen families before generalizing.</x:v>
      </x:c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 t="str">
        <x:v>AI-assisted review notes require participant approval. If labels change, both saved runs rescore.</x:v>
      </x:c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2" ht="32" customHeight="1">
      <x:c r="A32" s="16" t="str">
        <x:v>Failure review progress</x:v>
      </x:c>
      <x:c r="B32" s="16" t="str">
        <x:v>Approved</x:v>
      </x:c>
      <x:c r="C32" s="16" t="str">
        <x:v>Failed cases</x:v>
      </x:c>
      <x:c r="D32" s="16" t="str">
        <x:v>Remaining</x:v>
      </x:c>
    </x:row>
    <x:row r="33" ht="26" customHeight="1">
      <x:c r="A33" s="1" t="str">
        <x:v>Saved runs (Evaluation)</x:v>
      </x:c>
      <x:c r="B33" s="17" t="n">
        <x:f>COUNTIFS('Evaluation'!$F$6:$F$105,"FAIL",'Evaluation'!$M$6:$M$105,"Approved")+COUNTIFS('Evaluation'!$H$6:$H$105,"FAIL",'Evaluation'!$M$6:$M$105,"Approved")-COUNTIFS('Evaluation'!$F$6:$F$105,"FAIL",'Evaluation'!$H$6:$H$105,"FAIL",'Evaluation'!$M$6:$M$105,"Approved")</x:f>
        <x:v>11</x:v>
      </x:c>
      <x:c r="C33" s="17" t="n">
        <x:f>COUNTIFS('Evaluation'!$F$6:$F$105,"FAIL")+COUNTIFS('Evaluation'!$H$6:$H$105,"FAIL")-COUNTIFS('Evaluation'!$F$6:$F$105,"FAIL",'Evaluation'!$H$6:$H$105,"FAIL")</x:f>
        <x:v>11</x:v>
      </x:c>
      <x:c r="D33" s="17" t="n">
        <x:f>C33-B33</x:f>
        <x:v>0</x:v>
      </x:c>
    </x:row>
    <x:row r="34" ht="26" customHeight="1">
      <x:c r="A34" s="1" t="str">
        <x:v>Fresh runs (Fresh evaluation)</x:v>
      </x:c>
      <x:c r="B34" s="17" t="n">
        <x:f>COUNTIFS('Fresh evaluation'!$F$6:$F$105,"FAIL",'Fresh evaluation'!$M$6:$M$105,"Approved")+COUNTIFS('Fresh evaluation'!$H$6:$H$105,"FAIL",'Fresh evaluation'!$M$6:$M$105,"Approved")-COUNTIFS('Fresh evaluation'!$F$6:$F$105,"FAIL",'Fresh evaluation'!$H$6:$H$105,"FAIL",'Fresh evaluation'!$M$6:$M$105,"Approved")</x:f>
        <x:v>14</x:v>
      </x:c>
      <x:c r="C34" s="17" t="n">
        <x:f>COUNTIFS('Fresh evaluation'!$F$6:$F$105,"FAIL")+COUNTIFS('Fresh evaluation'!$H$6:$H$105,"FAIL")-COUNTIFS('Fresh evaluation'!$F$6:$F$105,"FAIL",'Fresh evaluation'!$H$6:$H$105,"FAIL")</x:f>
        <x:v>14</x:v>
      </x:c>
      <x:c r="D34" s="17" t="n">
        <x:f>C34-B34</x:f>
        <x:v>0</x:v>
      </x:c>
    </x:row>
    <x:row r="36">
      <x:c r="A36" s="1" t="str">
        <x:v>A failed case fails either run. Each ticket is counted once per tab. Notes alone do not mark approval.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60" hidden="0" customWidth="1"/>
    <x:col min="3" max="3" width="21" hidden="0" customWidth="1"/>
    <x:col min="4" max="4" width="21" hidden="0" customWidth="1"/>
    <x:col min="5" max="5" width="21" hidden="0" customWidth="1"/>
    <x:col min="6" max="6" width="13" hidden="0" customWidth="1"/>
    <x:col min="7" max="7" width="23" hidden="0" customWidth="1"/>
    <x:col min="8" max="8" width="15" hidden="0" customWidth="1"/>
    <x:col min="9" max="9" width="15" hidden="0" customWidth="1"/>
    <x:col min="10" max="10" width="31" hidden="0" customWidth="1"/>
    <x:col min="11" max="11" width="65" hidden="0" customWidth="1"/>
    <x:col min="12" max="12" width="40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Ticket review and saved run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Source: github.com/The-Gen-Academy/4A-Customer-Support-Agent-Evaluation at ef517b274cf86a2c4fa8ae72fdc89b3dce80f41d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Amber columns are participant inputs. Reviewed labels start from source policy. Blank approval means pending.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7" t="str">
        <x:v>ID</x:v>
      </x:c>
      <x:c r="B5" s="7" t="str">
        <x:v>Customer query</x:v>
      </x:c>
      <x:c r="C5" s="7" t="str">
        <x:v>Source intent</x:v>
      </x:c>
      <x:c r="D5" s="7" t="str">
        <x:v>Reviewed intent</x:v>
      </x:c>
      <x:c r="E5" s="7" t="str">
        <x:v>Baseline prediction</x:v>
      </x:c>
      <x:c r="F5" s="7" t="str">
        <x:v>Baseline result</x:v>
      </x:c>
      <x:c r="G5" s="7" t="str">
        <x:v>Upstream revised prediction</x:v>
      </x:c>
      <x:c r="H5" s="7" t="str">
        <x:v>Revised result</x:v>
      </x:c>
      <x:c r="I5" s="7" t="str">
        <x:v>Change</x:v>
      </x:c>
      <x:c r="J5" s="7" t="str">
        <x:v>AI draft failure category</x:v>
      </x:c>
      <x:c r="K5" s="7" t="str">
        <x:v>AI draft review note</x:v>
      </x:c>
      <x:c r="L5" s="7" t="str">
        <x:v>Participant notes</x:v>
      </x:c>
      <x:c r="M5" s="7" t="str">
        <x:v>Participant approval</x:v>
      </x:c>
      <x:c r="N5" s="7" t="str">
        <x:v>Baseline score</x:v>
      </x:c>
      <x:c r="O5" s="7" t="str">
        <x:v>Revised score</x:v>
      </x:c>
    </x:row>
    <x:row r="6" ht="55" customHeight="1">
      <x:c r="A6" s="11" t="str">
        <x:v>t000</x:v>
      </x:c>
      <x:c r="B6" s="11" t="str">
        <x:v>Hi, I ordered a blender 5 days ago and the tracking page hasn't updated. Can you tell me where it is?</x:v>
      </x:c>
      <x:c r="C6" s="11" t="str">
        <x:v>order_status</x:v>
      </x:c>
      <x:c r="D6" s="12" t="str">
        <x:v>order_status</x:v>
      </x:c>
      <x:c r="E6" s="11" t="str">
        <x:v>order_status</x:v>
      </x:c>
      <x:c r="F6" s="11" t="str">
        <x:f>IF(D6="","PENDING",IF(E6=D6,"PASS","FAIL"))</x:f>
        <x:v>PASS</x:v>
      </x:c>
      <x:c r="G6" s="11" t="str">
        <x:v>order_status</x:v>
      </x:c>
      <x:c r="H6" s="11" t="str">
        <x:f>IF(D6="","PENDING",IF(G6=D6,"PASS","FAIL"))</x:f>
        <x:v>PASS</x:v>
      </x:c>
      <x:c r="I6" s="11" t="str">
        <x:f>IF(OR(F6="PENDING",H6="PENDING"),"PENDING",IF(F6="FAIL",IF(H6="PASS","WIN","STILL_FAIL"),IF(H6="FAIL","REGRESSION","STILL_PASS")))</x:f>
        <x:v>STILL_PASS</x:v>
      </x:c>
      <x:c r="J6" s="11" t="str"/>
      <x:c r="K6" s="11" t="str"/>
      <x:c r="L6" s="12" t="str"/>
      <x:c r="M6" s="12" t="str"/>
      <x:c r="N6" s="11" t="n">
        <x:f>IF(F6="PENDING","",IF(F6="PASS",1,0))</x:f>
        <x:v>1</x:v>
      </x:c>
      <x:c r="O6" s="11" t="n">
        <x:f>IF(H6="PENDING","",IF(H6="PASS",1,0))</x:f>
        <x:v>1</x:v>
      </x:c>
    </x:row>
    <x:row r="7" ht="55" customHeight="1">
      <x:c r="A7" s="11" t="str">
        <x:v>t001</x:v>
      </x:c>
      <x:c r="B7" s="11" t="str">
        <x:v>Hello, I placed an order for a blender five days back, but the tracking information hasn't changed at all. Can you please provide an update on its whereabouts?</x:v>
      </x:c>
      <x:c r="C7" s="11" t="str">
        <x:v>order_status</x:v>
      </x:c>
      <x:c r="D7" s="12" t="str">
        <x:v>order_status</x:v>
      </x:c>
      <x:c r="E7" s="11" t="str">
        <x:v>order_status</x:v>
      </x:c>
      <x:c r="F7" s="11" t="str">
        <x:f>IF(D7="","PENDING",IF(E7=D7,"PASS","FAIL"))</x:f>
        <x:v>PASS</x:v>
      </x:c>
      <x:c r="G7" s="11" t="str">
        <x:v>order_status</x:v>
      </x:c>
      <x:c r="H7" s="11" t="str">
        <x:f>IF(D7="","PENDING",IF(G7=D7,"PASS","FAIL"))</x:f>
        <x:v>PASS</x:v>
      </x:c>
      <x:c r="I7" s="11" t="str">
        <x:f>IF(OR(F7="PENDING",H7="PENDING"),"PENDING",IF(F7="FAIL",IF(H7="PASS","WIN","STILL_FAIL"),IF(H7="FAIL","REGRESSION","STILL_PASS")))</x:f>
        <x:v>STILL_PASS</x:v>
      </x:c>
      <x:c r="J7" s="11" t="str"/>
      <x:c r="K7" s="11" t="str"/>
      <x:c r="L7" s="12" t="str"/>
      <x:c r="M7" s="12" t="str"/>
      <x:c r="N7" s="11" t="n">
        <x:f>IF(F7="PENDING","",IF(F7="PASS",1,0))</x:f>
        <x:v>1</x:v>
      </x:c>
      <x:c r="O7" s="11" t="n">
        <x:f>IF(H7="PENDING","",IF(H7="PASS",1,0))</x:f>
        <x:v>1</x:v>
      </x:c>
    </x:row>
    <x:row r="8" ht="55" customHeight="1">
      <x:c r="A8" s="11" t="str">
        <x:v>t002</x:v>
      </x:c>
      <x:c r="B8" s="11" t="str">
        <x:v>Hey, I ordered a blender about five days ago, and the tracking hasn’t shown any progress. What’s going on with my order?</x:v>
      </x:c>
      <x:c r="C8" s="11" t="str">
        <x:v>order_status</x:v>
      </x:c>
      <x:c r="D8" s="12" t="str">
        <x:v>order_status</x:v>
      </x:c>
      <x:c r="E8" s="11" t="str">
        <x:v>order_status</x:v>
      </x:c>
      <x:c r="F8" s="11" t="str">
        <x:f>IF(D8="","PENDING",IF(E8=D8,"PASS","FAIL"))</x:f>
        <x:v>PASS</x:v>
      </x:c>
      <x:c r="G8" s="11" t="str">
        <x:v>order_status</x:v>
      </x:c>
      <x:c r="H8" s="11" t="str">
        <x:f>IF(D8="","PENDING",IF(G8=D8,"PASS","FAIL"))</x:f>
        <x:v>PASS</x:v>
      </x:c>
      <x:c r="I8" s="11" t="str">
        <x:f>IF(OR(F8="PENDING",H8="PENDING"),"PENDING",IF(F8="FAIL",IF(H8="PASS","WIN","STILL_FAIL"),IF(H8="FAIL","REGRESSION","STILL_PASS")))</x:f>
        <x:v>STILL_PASS</x:v>
      </x:c>
      <x:c r="J8" s="11" t="str"/>
      <x:c r="K8" s="11" t="str"/>
      <x:c r="L8" s="12" t="str"/>
      <x:c r="M8" s="12" t="str"/>
      <x:c r="N8" s="11" t="n">
        <x:f>IF(F8="PENDING","",IF(F8="PASS",1,0))</x:f>
        <x:v>1</x:v>
      </x:c>
      <x:c r="O8" s="11" t="n">
        <x:f>IF(H8="PENDING","",IF(H8="PASS",1,0))</x:f>
        <x:v>1</x:v>
      </x:c>
    </x:row>
    <x:row r="9" ht="55" customHeight="1">
      <x:c r="A9" s="11" t="str">
        <x:v>t003</x:v>
      </x:c>
      <x:c r="B9" s="11" t="str">
        <x:v>Hi there, it’s been five days since I ordered my blender, and the tracking status is still the same. Could you let me know what's happening with it?</x:v>
      </x:c>
      <x:c r="C9" s="11" t="str">
        <x:v>order_status</x:v>
      </x:c>
      <x:c r="D9" s="12" t="str">
        <x:v>order_status</x:v>
      </x:c>
      <x:c r="E9" s="11" t="str">
        <x:v>order_status</x:v>
      </x:c>
      <x:c r="F9" s="11" t="str">
        <x:f>IF(D9="","PENDING",IF(E9=D9,"PASS","FAIL"))</x:f>
        <x:v>PASS</x:v>
      </x:c>
      <x:c r="G9" s="11" t="str">
        <x:v>order_status</x:v>
      </x:c>
      <x:c r="H9" s="11" t="str">
        <x:f>IF(D9="","PENDING",IF(G9=D9,"PASS","FAIL"))</x:f>
        <x:v>PASS</x:v>
      </x:c>
      <x:c r="I9" s="11" t="str">
        <x:f>IF(OR(F9="PENDING",H9="PENDING"),"PENDING",IF(F9="FAIL",IF(H9="PASS","WIN","STILL_FAIL"),IF(H9="FAIL","REGRESSION","STILL_PASS")))</x:f>
        <x:v>STILL_PASS</x:v>
      </x:c>
      <x:c r="J9" s="11" t="str"/>
      <x:c r="K9" s="11" t="str"/>
      <x:c r="L9" s="12" t="str"/>
      <x:c r="M9" s="12" t="str"/>
      <x:c r="N9" s="11" t="n">
        <x:f>IF(F9="PENDING","",IF(F9="PASS",1,0))</x:f>
        <x:v>1</x:v>
      </x:c>
      <x:c r="O9" s="11" t="n">
        <x:f>IF(H9="PENDING","",IF(H9="PASS",1,0))</x:f>
        <x:v>1</x:v>
      </x:c>
    </x:row>
    <x:row r="10" ht="55" customHeight="1">
      <x:c r="A10" s="11" t="str">
        <x:v>t004</x:v>
      </x:c>
      <x:c r="B10" s="11" t="str">
        <x:v>I never received my order and I want my money back.</x:v>
      </x:c>
      <x:c r="C10" s="11" t="str">
        <x:v>order_status</x:v>
      </x:c>
      <x:c r="D10" s="12" t="str">
        <x:v>order_status</x:v>
      </x:c>
      <x:c r="E10" s="11" t="str">
        <x:v>refund_request</x:v>
      </x:c>
      <x:c r="F10" s="11" t="str">
        <x:f>IF(D10="","PENDING",IF(E10=D10,"PASS","FAIL"))</x:f>
        <x:v>FAIL</x:v>
      </x:c>
      <x:c r="G10" s="11" t="str">
        <x:v>order_status</x:v>
      </x:c>
      <x:c r="H10" s="11" t="str">
        <x:f>IF(D10="","PENDING",IF(G10=D10,"PASS","FAIL"))</x:f>
        <x:v>PASS</x:v>
      </x:c>
      <x:c r="I10" s="11" t="str">
        <x:f>IF(OR(F10="PENDING",H10="PENDING"),"PENDING",IF(F10="FAIL",IF(H10="PASS","WIN","STILL_FAIL"),IF(H10="FAIL","REGRESSION","STILL_PASS")))</x:f>
        <x:v>WIN</x:v>
      </x:c>
      <x:c r="J10" s="11" t="str">
        <x:v>Requested remedy overrides underlying problem</x:v>
      </x:c>
      <x:c r="K10" s="11" t="str">
        <x:v>The customer requests money back after non-delivery. The prediction follows the remedy; the supplied routing policy assigns non-delivery to order_status.</x:v>
      </x:c>
      <x:c r="L10" s="12" t="str">
        <x:v>refund_status</x:v>
      </x:c>
      <x:c r="M10" s="12" t="str">
        <x:v>Approved</x:v>
      </x:c>
      <x:c r="N10" s="11" t="n">
        <x:f>IF(F10="PENDING","",IF(F10="PASS",1,0))</x:f>
        <x:v>0</x:v>
      </x:c>
      <x:c r="O10" s="11" t="n">
        <x:f>IF(H10="PENDING","",IF(H10="PASS",1,0))</x:f>
        <x:v>1</x:v>
      </x:c>
    </x:row>
    <x:row r="11" ht="55" customHeight="1">
      <x:c r="A11" s="11" t="str">
        <x:v>t005</x:v>
      </x:c>
      <x:c r="B11" s="11" t="str">
        <x:v>I still haven't gotten my order, and I demand a refund immediately.</x:v>
      </x:c>
      <x:c r="C11" s="11" t="str">
        <x:v>order_status</x:v>
      </x:c>
      <x:c r="D11" s="12" t="str">
        <x:v>order_status</x:v>
      </x:c>
      <x:c r="E11" s="11" t="str">
        <x:v>refund_request</x:v>
      </x:c>
      <x:c r="F11" s="11" t="str">
        <x:f>IF(D11="","PENDING",IF(E11=D11,"PASS","FAIL"))</x:f>
        <x:v>FAIL</x:v>
      </x:c>
      <x:c r="G11" s="11" t="str">
        <x:v>order_status</x:v>
      </x:c>
      <x:c r="H11" s="11" t="str">
        <x:f>IF(D11="","PENDING",IF(G11=D11,"PASS","FAIL"))</x:f>
        <x:v>PASS</x:v>
      </x:c>
      <x:c r="I11" s="11" t="str">
        <x:f>IF(OR(F11="PENDING",H11="PENDING"),"PENDING",IF(F11="FAIL",IF(H11="PASS","WIN","STILL_FAIL"),IF(H11="FAIL","REGRESSION","STILL_PASS")))</x:f>
        <x:v>WIN</x:v>
      </x:c>
      <x:c r="J11" s="11" t="str">
        <x:v>Requested remedy overrides underlying problem</x:v>
      </x:c>
      <x:c r="K11" s="11" t="str">
        <x:v>The customer requests money back after non-delivery. The prediction follows the remedy; the supplied routing policy assigns non-delivery to order_status.</x:v>
      </x:c>
      <x:c r="L11" s="12" t="str">
        <x:v>order_status</x:v>
      </x:c>
      <x:c r="M11" s="12" t="str">
        <x:v>Approved</x:v>
      </x:c>
      <x:c r="N11" s="11" t="n">
        <x:f>IF(F11="PENDING","",IF(F11="PASS",1,0))</x:f>
        <x:v>0</x:v>
      </x:c>
      <x:c r="O11" s="11" t="n">
        <x:f>IF(H11="PENDING","",IF(H11="PASS",1,0))</x:f>
        <x:v>1</x:v>
      </x:c>
    </x:row>
    <x:row r="12" ht="55" customHeight="1">
      <x:c r="A12" s="11" t="str">
        <x:v>t006</x:v>
      </x:c>
      <x:c r="B12" s="11" t="str">
        <x:v>Can someone please help me? My order hasn't arrived, and I'm looking for a full refund.</x:v>
      </x:c>
      <x:c r="C12" s="11" t="str">
        <x:v>order_status</x:v>
      </x:c>
      <x:c r="D12" s="12" t="str">
        <x:v>order_status</x:v>
      </x:c>
      <x:c r="E12" s="11" t="str">
        <x:v>refund_request</x:v>
      </x:c>
      <x:c r="F12" s="11" t="str">
        <x:f>IF(D12="","PENDING",IF(E12=D12,"PASS","FAIL"))</x:f>
        <x:v>FAIL</x:v>
      </x:c>
      <x:c r="G12" s="11" t="str">
        <x:v>order_status</x:v>
      </x:c>
      <x:c r="H12" s="11" t="str">
        <x:f>IF(D12="","PENDING",IF(G12=D12,"PASS","FAIL"))</x:f>
        <x:v>PASS</x:v>
      </x:c>
      <x:c r="I12" s="11" t="str">
        <x:f>IF(OR(F12="PENDING",H12="PENDING"),"PENDING",IF(F12="FAIL",IF(H12="PASS","WIN","STILL_FAIL"),IF(H12="FAIL","REGRESSION","STILL_PASS")))</x:f>
        <x:v>WIN</x:v>
      </x:c>
      <x:c r="J12" s="11" t="str">
        <x:v>Requested remedy overrides underlying problem</x:v>
      </x:c>
      <x:c r="K12" s="11" t="str">
        <x:v>The customer requests money back after non-delivery. The prediction follows the remedy; the supplied routing policy assigns non-delivery to order_status.</x:v>
      </x:c>
      <x:c r="L12" s="12" t="str">
        <x:v>order_status</x:v>
      </x:c>
      <x:c r="M12" s="12" t="str">
        <x:v>Approved</x:v>
      </x:c>
      <x:c r="N12" s="11" t="n">
        <x:f>IF(F12="PENDING","",IF(F12="PASS",1,0))</x:f>
        <x:v>0</x:v>
      </x:c>
      <x:c r="O12" s="11" t="n">
        <x:f>IF(H12="PENDING","",IF(H12="PASS",1,0))</x:f>
        <x:v>1</x:v>
      </x:c>
    </x:row>
    <x:row r="13" ht="55" customHeight="1">
      <x:c r="A13" s="11" t="str">
        <x:v>t007</x:v>
      </x:c>
      <x:c r="B13" s="11" t="str">
        <x:v>I can't believe this! My order is missing, and I want my money back right away.</x:v>
      </x:c>
      <x:c r="C13" s="11" t="str">
        <x:v>order_status</x:v>
      </x:c>
      <x:c r="D13" s="12" t="str">
        <x:v>order_status</x:v>
      </x:c>
      <x:c r="E13" s="11" t="str">
        <x:v>refund_request</x:v>
      </x:c>
      <x:c r="F13" s="11" t="str">
        <x:f>IF(D13="","PENDING",IF(E13=D13,"PASS","FAIL"))</x:f>
        <x:v>FAIL</x:v>
      </x:c>
      <x:c r="G13" s="11" t="str">
        <x:v>order_status</x:v>
      </x:c>
      <x:c r="H13" s="11" t="str">
        <x:f>IF(D13="","PENDING",IF(G13=D13,"PASS","FAIL"))</x:f>
        <x:v>PASS</x:v>
      </x:c>
      <x:c r="I13" s="11" t="str">
        <x:f>IF(OR(F13="PENDING",H13="PENDING"),"PENDING",IF(F13="FAIL",IF(H13="PASS","WIN","STILL_FAIL"),IF(H13="FAIL","REGRESSION","STILL_PASS")))</x:f>
        <x:v>WIN</x:v>
      </x:c>
      <x:c r="J13" s="11" t="str">
        <x:v>Requested remedy overrides underlying problem</x:v>
      </x:c>
      <x:c r="K13" s="11" t="str">
        <x:v>The customer requests money back after non-delivery. The prediction follows the remedy; the supplied routing policy assigns non-delivery to order_status.</x:v>
      </x:c>
      <x:c r="L13" s="12" t="str">
        <x:v>order_status</x:v>
      </x:c>
      <x:c r="M13" s="12" t="str">
        <x:v>Approved</x:v>
      </x:c>
      <x:c r="N13" s="11" t="n">
        <x:f>IF(F13="PENDING","",IF(F13="PASS",1,0))</x:f>
        <x:v>0</x:v>
      </x:c>
      <x:c r="O13" s="11" t="n">
        <x:f>IF(H13="PENDING","",IF(H13="PASS",1,0))</x:f>
        <x:v>1</x:v>
      </x:c>
    </x:row>
    <x:row r="14" ht="55" customHeight="1">
      <x:c r="A14" s="11" t="str">
        <x:v>t008</x:v>
      </x:c>
      <x:c r="B14" s="11" t="str">
        <x:v>Order shows delivered last Tuesday but it's not at my door, my neighbor's, or the mailroom. What now?</x:v>
      </x:c>
      <x:c r="C14" s="11" t="str">
        <x:v>order_status</x:v>
      </x:c>
      <x:c r="D14" s="12" t="str">
        <x:v>order_status</x:v>
      </x:c>
      <x:c r="E14" s="11" t="str">
        <x:v>order_status</x:v>
      </x:c>
      <x:c r="F14" s="11" t="str">
        <x:f>IF(D14="","PENDING",IF(E14=D14,"PASS","FAIL"))</x:f>
        <x:v>PASS</x:v>
      </x:c>
      <x:c r="G14" s="11" t="str">
        <x:v>order_status</x:v>
      </x:c>
      <x:c r="H14" s="11" t="str">
        <x:f>IF(D14="","PENDING",IF(G14=D14,"PASS","FAIL"))</x:f>
        <x:v>PASS</x:v>
      </x:c>
      <x:c r="I14" s="11" t="str">
        <x:f>IF(OR(F14="PENDING",H14="PENDING"),"PENDING",IF(F14="FAIL",IF(H14="PASS","WIN","STILL_FAIL"),IF(H14="FAIL","REGRESSION","STILL_PASS")))</x:f>
        <x:v>STILL_PASS</x:v>
      </x:c>
      <x:c r="J14" s="11" t="str"/>
      <x:c r="K14" s="11" t="str"/>
      <x:c r="L14" s="12" t="str"/>
      <x:c r="M14" s="12" t="str"/>
      <x:c r="N14" s="11" t="n">
        <x:f>IF(F14="PENDING","",IF(F14="PASS",1,0))</x:f>
        <x:v>1</x:v>
      </x:c>
      <x:c r="O14" s="11" t="n">
        <x:f>IF(H14="PENDING","",IF(H14="PASS",1,0))</x:f>
        <x:v>1</x:v>
      </x:c>
    </x:row>
    <x:row r="15" ht="55" customHeight="1">
      <x:c r="A15" s="11" t="str">
        <x:v>t009</x:v>
      </x:c>
      <x:c r="B15" s="11" t="str">
        <x:v>I see that my order was marked as delivered last Tuesday, but it hasn't arrived at my place, my neighbor's, or even in the mailroom. What should I do next?</x:v>
      </x:c>
      <x:c r="C15" s="11" t="str">
        <x:v>order_status</x:v>
      </x:c>
      <x:c r="D15" s="12" t="str">
        <x:v>order_status</x:v>
      </x:c>
      <x:c r="E15" s="11" t="str">
        <x:v>order_status</x:v>
      </x:c>
      <x:c r="F15" s="11" t="str">
        <x:f>IF(D15="","PENDING",IF(E15=D15,"PASS","FAIL"))</x:f>
        <x:v>PASS</x:v>
      </x:c>
      <x:c r="G15" s="11" t="str">
        <x:v>order_status</x:v>
      </x:c>
      <x:c r="H15" s="11" t="str">
        <x:f>IF(D15="","PENDING",IF(G15=D15,"PASS","FAIL"))</x:f>
        <x:v>PASS</x:v>
      </x:c>
      <x:c r="I15" s="11" t="str">
        <x:f>IF(OR(F15="PENDING",H15="PENDING"),"PENDING",IF(F15="FAIL",IF(H15="PASS","WIN","STILL_FAIL"),IF(H15="FAIL","REGRESSION","STILL_PASS")))</x:f>
        <x:v>STILL_PASS</x:v>
      </x:c>
      <x:c r="J15" s="11" t="str"/>
      <x:c r="K15" s="11" t="str"/>
      <x:c r="L15" s="12" t="str"/>
      <x:c r="M15" s="12" t="str"/>
      <x:c r="N15" s="11" t="n">
        <x:f>IF(F15="PENDING","",IF(F15="PASS",1,0))</x:f>
        <x:v>1</x:v>
      </x:c>
      <x:c r="O15" s="11" t="n">
        <x:f>IF(H15="PENDING","",IF(H15="PASS",1,0))</x:f>
        <x:v>1</x:v>
      </x:c>
    </x:row>
    <x:row r="16" ht="55" customHeight="1">
      <x:c r="A16" s="11" t="str">
        <x:v>t010</x:v>
      </x:c>
      <x:c r="B16" s="11" t="str">
        <x:v>According to the tracking, my package was delivered last Tuesday, yet I can't find it anywhere—neither at my doorstep nor at my neighbor's nor in the mailroom. What happens now?</x:v>
      </x:c>
      <x:c r="C16" s="11" t="str">
        <x:v>order_status</x:v>
      </x:c>
      <x:c r="D16" s="12" t="str">
        <x:v>order_status</x:v>
      </x:c>
      <x:c r="E16" s="11" t="str">
        <x:v>order_status</x:v>
      </x:c>
      <x:c r="F16" s="11" t="str">
        <x:f>IF(D16="","PENDING",IF(E16=D16,"PASS","FAIL"))</x:f>
        <x:v>PASS</x:v>
      </x:c>
      <x:c r="G16" s="11" t="str">
        <x:v>order_status</x:v>
      </x:c>
      <x:c r="H16" s="11" t="str">
        <x:f>IF(D16="","PENDING",IF(G16=D16,"PASS","FAIL"))</x:f>
        <x:v>PASS</x:v>
      </x:c>
      <x:c r="I16" s="11" t="str">
        <x:f>IF(OR(F16="PENDING",H16="PENDING"),"PENDING",IF(F16="FAIL",IF(H16="PASS","WIN","STILL_FAIL"),IF(H16="FAIL","REGRESSION","STILL_PASS")))</x:f>
        <x:v>STILL_PASS</x:v>
      </x:c>
      <x:c r="J16" s="11" t="str"/>
      <x:c r="K16" s="11" t="str"/>
      <x:c r="L16" s="12" t="str"/>
      <x:c r="M16" s="12" t="str"/>
      <x:c r="N16" s="11" t="n">
        <x:f>IF(F16="PENDING","",IF(F16="PASS",1,0))</x:f>
        <x:v>1</x:v>
      </x:c>
      <x:c r="O16" s="11" t="n">
        <x:f>IF(H16="PENDING","",IF(H16="PASS",1,0))</x:f>
        <x:v>1</x:v>
      </x:c>
    </x:row>
    <x:row r="17" ht="55" customHeight="1">
      <x:c r="A17" s="11" t="str">
        <x:v>t011</x:v>
      </x:c>
      <x:c r="B17" s="11" t="str">
        <x:v>So my order says it was delivered last Tuesday, but surprise, surprise! I haven't seen it at my door, my neighbor's, or even in the mailroom. What gives?</x:v>
      </x:c>
      <x:c r="C17" s="11" t="str">
        <x:v>order_status</x:v>
      </x:c>
      <x:c r="D17" s="12" t="str">
        <x:v>order_status</x:v>
      </x:c>
      <x:c r="E17" s="11" t="str">
        <x:v>order_status</x:v>
      </x:c>
      <x:c r="F17" s="11" t="str">
        <x:f>IF(D17="","PENDING",IF(E17=D17,"PASS","FAIL"))</x:f>
        <x:v>PASS</x:v>
      </x:c>
      <x:c r="G17" s="11" t="str">
        <x:v>order_status</x:v>
      </x:c>
      <x:c r="H17" s="11" t="str">
        <x:f>IF(D17="","PENDING",IF(G17=D17,"PASS","FAIL"))</x:f>
        <x:v>PASS</x:v>
      </x:c>
      <x:c r="I17" s="11" t="str">
        <x:f>IF(OR(F17="PENDING",H17="PENDING"),"PENDING",IF(F17="FAIL",IF(H17="PASS","WIN","STILL_FAIL"),IF(H17="FAIL","REGRESSION","STILL_PASS")))</x:f>
        <x:v>STILL_PASS</x:v>
      </x:c>
      <x:c r="J17" s="11" t="str"/>
      <x:c r="K17" s="11" t="str"/>
      <x:c r="L17" s="12" t="str"/>
      <x:c r="M17" s="12" t="str"/>
      <x:c r="N17" s="11" t="n">
        <x:f>IF(F17="PENDING","",IF(F17="PASS",1,0))</x:f>
        <x:v>1</x:v>
      </x:c>
      <x:c r="O17" s="11" t="n">
        <x:f>IF(H17="PENDING","",IF(H17="PASS",1,0))</x:f>
        <x:v>1</x:v>
      </x:c>
    </x:row>
    <x:row r="18" ht="55" customHeight="1">
      <x:c r="A18" s="11" t="str">
        <x:v>t012</x:v>
      </x:c>
      <x:c r="B18" s="11" t="str">
        <x:v>The website said 2-day shipping. It's been 9 days. Are you kidding me?</x:v>
      </x:c>
      <x:c r="C18" s="11" t="str">
        <x:v>order_status</x:v>
      </x:c>
      <x:c r="D18" s="12" t="str">
        <x:v>order_status</x:v>
      </x:c>
      <x:c r="E18" s="11" t="str">
        <x:v>order_status</x:v>
      </x:c>
      <x:c r="F18" s="11" t="str">
        <x:f>IF(D18="","PENDING",IF(E18=D18,"PASS","FAIL"))</x:f>
        <x:v>PASS</x:v>
      </x:c>
      <x:c r="G18" s="11" t="str">
        <x:v>order_status</x:v>
      </x:c>
      <x:c r="H18" s="11" t="str">
        <x:f>IF(D18="","PENDING",IF(G18=D18,"PASS","FAIL"))</x:f>
        <x:v>PASS</x:v>
      </x:c>
      <x:c r="I18" s="11" t="str">
        <x:f>IF(OR(F18="PENDING",H18="PENDING"),"PENDING",IF(F18="FAIL",IF(H18="PASS","WIN","STILL_FAIL"),IF(H18="FAIL","REGRESSION","STILL_PASS")))</x:f>
        <x:v>STILL_PASS</x:v>
      </x:c>
      <x:c r="J18" s="11" t="str"/>
      <x:c r="K18" s="11" t="str"/>
      <x:c r="L18" s="12" t="str"/>
      <x:c r="M18" s="12" t="str"/>
      <x:c r="N18" s="11" t="n">
        <x:f>IF(F18="PENDING","",IF(F18="PASS",1,0))</x:f>
        <x:v>1</x:v>
      </x:c>
      <x:c r="O18" s="11" t="n">
        <x:f>IF(H18="PENDING","",IF(H18="PASS",1,0))</x:f>
        <x:v>1</x:v>
      </x:c>
    </x:row>
    <x:row r="19" ht="55" customHeight="1">
      <x:c r="A19" s="11" t="str">
        <x:v>t013</x:v>
      </x:c>
      <x:c r="B19" s="11" t="str">
        <x:v>I was promised 2-day shipping, but it has now been 9 days! This is ridiculous!</x:v>
      </x:c>
      <x:c r="C19" s="11" t="str">
        <x:v>order_status</x:v>
      </x:c>
      <x:c r="D19" s="12" t="str">
        <x:v>order_status</x:v>
      </x:c>
      <x:c r="E19" s="11" t="str">
        <x:v>order_status</x:v>
      </x:c>
      <x:c r="F19" s="11" t="str">
        <x:f>IF(D19="","PENDING",IF(E19=D19,"PASS","FAIL"))</x:f>
        <x:v>PASS</x:v>
      </x:c>
      <x:c r="G19" s="11" t="str">
        <x:v>order_status</x:v>
      </x:c>
      <x:c r="H19" s="11" t="str">
        <x:f>IF(D19="","PENDING",IF(G19=D19,"PASS","FAIL"))</x:f>
        <x:v>PASS</x:v>
      </x:c>
      <x:c r="I19" s="11" t="str">
        <x:f>IF(OR(F19="PENDING",H19="PENDING"),"PENDING",IF(F19="FAIL",IF(H19="PASS","WIN","STILL_FAIL"),IF(H19="FAIL","REGRESSION","STILL_PASS")))</x:f>
        <x:v>STILL_PASS</x:v>
      </x:c>
      <x:c r="J19" s="11" t="str"/>
      <x:c r="K19" s="11" t="str"/>
      <x:c r="L19" s="12" t="str"/>
      <x:c r="M19" s="12" t="str"/>
      <x:c r="N19" s="11" t="n">
        <x:f>IF(F19="PENDING","",IF(F19="PASS",1,0))</x:f>
        <x:v>1</x:v>
      </x:c>
      <x:c r="O19" s="11" t="n">
        <x:f>IF(H19="PENDING","",IF(H19="PASS",1,0))</x:f>
        <x:v>1</x:v>
      </x:c>
    </x:row>
    <x:row r="20" ht="55" customHeight="1">
      <x:c r="A20" s="11" t="str">
        <x:v>t014</x:v>
      </x:c>
      <x:c r="B20" s="11" t="str">
        <x:v>I ordered my items expecting them to arrive in 2 days as your site said, but here I am 9 days later with no package. What is going on?</x:v>
      </x:c>
      <x:c r="C20" s="11" t="str">
        <x:v>order_status</x:v>
      </x:c>
      <x:c r="D20" s="12" t="str">
        <x:v>order_status</x:v>
      </x:c>
      <x:c r="E20" s="11" t="str">
        <x:v>order_status</x:v>
      </x:c>
      <x:c r="F20" s="11" t="str">
        <x:f>IF(D20="","PENDING",IF(E20=D20,"PASS","FAIL"))</x:f>
        <x:v>PASS</x:v>
      </x:c>
      <x:c r="G20" s="11" t="str">
        <x:v>order_status</x:v>
      </x:c>
      <x:c r="H20" s="11" t="str">
        <x:f>IF(D20="","PENDING",IF(G20=D20,"PASS","FAIL"))</x:f>
        <x:v>PASS</x:v>
      </x:c>
      <x:c r="I20" s="11" t="str">
        <x:f>IF(OR(F20="PENDING",H20="PENDING"),"PENDING",IF(F20="FAIL",IF(H20="PASS","WIN","STILL_FAIL"),IF(H20="FAIL","REGRESSION","STILL_PASS")))</x:f>
        <x:v>STILL_PASS</x:v>
      </x:c>
      <x:c r="J20" s="11" t="str"/>
      <x:c r="K20" s="11" t="str"/>
      <x:c r="L20" s="12" t="str"/>
      <x:c r="M20" s="12" t="str"/>
      <x:c r="N20" s="11" t="n">
        <x:f>IF(F20="PENDING","",IF(F20="PASS",1,0))</x:f>
        <x:v>1</x:v>
      </x:c>
      <x:c r="O20" s="11" t="n">
        <x:f>IF(H20="PENDING","",IF(H20="PASS",1,0))</x:f>
        <x:v>1</x:v>
      </x:c>
    </x:row>
    <x:row r="21" ht="55" customHeight="1">
      <x:c r="A21" s="11" t="str">
        <x:v>t015</x:v>
      </x:c>
      <x:c r="B21" s="11" t="str">
        <x:v>I thought I paid for 2-day shipping. It’s been 9 days already—what’s taking so long?</x:v>
      </x:c>
      <x:c r="C21" s="11" t="str">
        <x:v>order_status</x:v>
      </x:c>
      <x:c r="D21" s="12" t="str">
        <x:v>order_status</x:v>
      </x:c>
      <x:c r="E21" s="11" t="str">
        <x:v>order_status</x:v>
      </x:c>
      <x:c r="F21" s="11" t="str">
        <x:f>IF(D21="","PENDING",IF(E21=D21,"PASS","FAIL"))</x:f>
        <x:v>PASS</x:v>
      </x:c>
      <x:c r="G21" s="11" t="str">
        <x:v>order_status</x:v>
      </x:c>
      <x:c r="H21" s="11" t="str">
        <x:f>IF(D21="","PENDING",IF(G21=D21,"PASS","FAIL"))</x:f>
        <x:v>PASS</x:v>
      </x:c>
      <x:c r="I21" s="11" t="str">
        <x:f>IF(OR(F21="PENDING",H21="PENDING"),"PENDING",IF(F21="FAIL",IF(H21="PASS","WIN","STILL_FAIL"),IF(H21="FAIL","REGRESSION","STILL_PASS")))</x:f>
        <x:v>STILL_PASS</x:v>
      </x:c>
      <x:c r="J21" s="11" t="str"/>
      <x:c r="K21" s="11" t="str"/>
      <x:c r="L21" s="12" t="str"/>
      <x:c r="M21" s="12" t="str"/>
      <x:c r="N21" s="11" t="n">
        <x:f>IF(F21="PENDING","",IF(F21="PASS",1,0))</x:f>
        <x:v>1</x:v>
      </x:c>
      <x:c r="O21" s="11" t="n">
        <x:f>IF(H21="PENDING","",IF(H21="PASS",1,0))</x:f>
        <x:v>1</x:v>
      </x:c>
    </x:row>
    <x:row r="22" ht="55" customHeight="1">
      <x:c r="A22" s="11" t="str">
        <x:v>t016</x:v>
      </x:c>
      <x:c r="B22" s="11" t="str">
        <x:v>Tracking link in the email just spins forever. Order #88421.</x:v>
      </x:c>
      <x:c r="C22" s="11" t="str">
        <x:v>order_status</x:v>
      </x:c>
      <x:c r="D22" s="12" t="str">
        <x:v>order_status</x:v>
      </x:c>
      <x:c r="E22" s="11" t="str">
        <x:v>order_status</x:v>
      </x:c>
      <x:c r="F22" s="11" t="str">
        <x:f>IF(D22="","PENDING",IF(E22=D22,"PASS","FAIL"))</x:f>
        <x:v>PASS</x:v>
      </x:c>
      <x:c r="G22" s="11" t="str">
        <x:v>account_help</x:v>
      </x:c>
      <x:c r="H22" s="11" t="str">
        <x:f>IF(D22="","PENDING",IF(G22=D22,"PASS","FAIL"))</x:f>
        <x:v>FAIL</x:v>
      </x:c>
      <x:c r="I22" s="11" t="str">
        <x:f>IF(OR(F22="PENDING",H22="PENDING"),"PENDING",IF(F22="FAIL",IF(H22="PASS","WIN","STILL_FAIL"),IF(H22="FAIL","REGRESSION","STILL_PASS")))</x:f>
        <x:v>REGRESSION</x:v>
      </x:c>
      <x:c r="J22" s="11" t="str">
        <x:v>Technical context mistaken for account problem</x:v>
      </x:c>
      <x:c r="K22" s="11" t="str">
        <x:v>The spinning link is specifically an order-tracking link. No login or checkout problem is stated, so the supplied order_status label remains appropriate.</x:v>
      </x:c>
      <x:c r="L22" s="12" t="str">
        <x:v>account_help</x:v>
      </x:c>
      <x:c r="M22" s="12" t="str">
        <x:v>Approved</x:v>
      </x:c>
      <x:c r="N22" s="11" t="n">
        <x:f>IF(F22="PENDING","",IF(F22="PASS",1,0))</x:f>
        <x:v>1</x:v>
      </x:c>
      <x:c r="O22" s="11" t="n">
        <x:f>IF(H22="PENDING","",IF(H22="PASS",1,0))</x:f>
        <x:v>0</x:v>
      </x:c>
    </x:row>
    <x:row r="23" ht="55" customHeight="1">
      <x:c r="A23" s="11" t="str">
        <x:v>t017</x:v>
      </x:c>
      <x:c r="B23" s="11" t="str">
        <x:v>The tracking link I received in the email just keeps loading endlessly. My order number is 88421.</x:v>
      </x:c>
      <x:c r="C23" s="11" t="str">
        <x:v>order_status</x:v>
      </x:c>
      <x:c r="D23" s="12" t="str">
        <x:v>order_status</x:v>
      </x:c>
      <x:c r="E23" s="11" t="str">
        <x:v>order_status</x:v>
      </x:c>
      <x:c r="F23" s="11" t="str">
        <x:f>IF(D23="","PENDING",IF(E23=D23,"PASS","FAIL"))</x:f>
        <x:v>PASS</x:v>
      </x:c>
      <x:c r="G23" s="11" t="str">
        <x:v>order_status</x:v>
      </x:c>
      <x:c r="H23" s="11" t="str">
        <x:f>IF(D23="","PENDING",IF(G23=D23,"PASS","FAIL"))</x:f>
        <x:v>PASS</x:v>
      </x:c>
      <x:c r="I23" s="11" t="str">
        <x:f>IF(OR(F23="PENDING",H23="PENDING"),"PENDING",IF(F23="FAIL",IF(H23="PASS","WIN","STILL_FAIL"),IF(H23="FAIL","REGRESSION","STILL_PASS")))</x:f>
        <x:v>STILL_PASS</x:v>
      </x:c>
      <x:c r="J23" s="11" t="str"/>
      <x:c r="K23" s="11" t="str"/>
      <x:c r="L23" s="12" t="str"/>
      <x:c r="M23" s="12" t="str"/>
      <x:c r="N23" s="11" t="n">
        <x:f>IF(F23="PENDING","",IF(F23="PASS",1,0))</x:f>
        <x:v>1</x:v>
      </x:c>
      <x:c r="O23" s="11" t="n">
        <x:f>IF(H23="PENDING","",IF(H23="PASS",1,0))</x:f>
        <x:v>1</x:v>
      </x:c>
    </x:row>
    <x:row r="24" ht="55" customHeight="1">
      <x:c r="A24" s="11" t="str">
        <x:v>t018</x:v>
      </x:c>
      <x:c r="B24" s="11" t="str">
        <x:v>I'm having a bit of trouble with the tracking link; it just keeps spinning and won't load. This is for order #88421.</x:v>
      </x:c>
      <x:c r="C24" s="11" t="str">
        <x:v>order_status</x:v>
      </x:c>
      <x:c r="D24" s="12" t="str">
        <x:v>order_status</x:v>
      </x:c>
      <x:c r="E24" s="11" t="str">
        <x:v>order_status</x:v>
      </x:c>
      <x:c r="F24" s="11" t="str">
        <x:f>IF(D24="","PENDING",IF(E24=D24,"PASS","FAIL"))</x:f>
        <x:v>PASS</x:v>
      </x:c>
      <x:c r="G24" s="11" t="str">
        <x:v>order_status</x:v>
      </x:c>
      <x:c r="H24" s="11" t="str">
        <x:f>IF(D24="","PENDING",IF(G24=D24,"PASS","FAIL"))</x:f>
        <x:v>PASS</x:v>
      </x:c>
      <x:c r="I24" s="11" t="str">
        <x:f>IF(OR(F24="PENDING",H24="PENDING"),"PENDING",IF(F24="FAIL",IF(H24="PASS","WIN","STILL_FAIL"),IF(H24="FAIL","REGRESSION","STILL_PASS")))</x:f>
        <x:v>STILL_PASS</x:v>
      </x:c>
      <x:c r="J24" s="11" t="str"/>
      <x:c r="K24" s="11" t="str"/>
      <x:c r="L24" s="12" t="str"/>
      <x:c r="M24" s="12" t="str"/>
      <x:c r="N24" s="11" t="n">
        <x:f>IF(F24="PENDING","",IF(F24="PASS",1,0))</x:f>
        <x:v>1</x:v>
      </x:c>
      <x:c r="O24" s="11" t="n">
        <x:f>IF(H24="PENDING","",IF(H24="PASS",1,0))</x:f>
        <x:v>1</x:v>
      </x:c>
    </x:row>
    <x:row r="25" ht="55" customHeight="1">
      <x:c r="A25" s="11" t="str">
        <x:v>t019</x:v>
      </x:c>
      <x:c r="B25" s="11" t="str">
        <x:v>The tracking URL in the email is stuck in a loop. Can you check on my order #88421?</x:v>
      </x:c>
      <x:c r="C25" s="11" t="str">
        <x:v>order_status</x:v>
      </x:c>
      <x:c r="D25" s="12" t="str">
        <x:v>order_status</x:v>
      </x:c>
      <x:c r="E25" s="11" t="str">
        <x:v>order_status</x:v>
      </x:c>
      <x:c r="F25" s="11" t="str">
        <x:f>IF(D25="","PENDING",IF(E25=D25,"PASS","FAIL"))</x:f>
        <x:v>PASS</x:v>
      </x:c>
      <x:c r="G25" s="11" t="str">
        <x:v>order_status</x:v>
      </x:c>
      <x:c r="H25" s="11" t="str">
        <x:f>IF(D25="","PENDING",IF(G25=D25,"PASS","FAIL"))</x:f>
        <x:v>PASS</x:v>
      </x:c>
      <x:c r="I25" s="11" t="str">
        <x:f>IF(OR(F25="PENDING",H25="PENDING"),"PENDING",IF(F25="FAIL",IF(H25="PASS","WIN","STILL_FAIL"),IF(H25="FAIL","REGRESSION","STILL_PASS")))</x:f>
        <x:v>STILL_PASS</x:v>
      </x:c>
      <x:c r="J25" s="11" t="str"/>
      <x:c r="K25" s="11" t="str"/>
      <x:c r="L25" s="12" t="str"/>
      <x:c r="M25" s="12" t="str"/>
      <x:c r="N25" s="11" t="n">
        <x:f>IF(F25="PENDING","",IF(F25="PASS",1,0))</x:f>
        <x:v>1</x:v>
      </x:c>
      <x:c r="O25" s="11" t="n">
        <x:f>IF(H25="PENDING","",IF(H25="PASS",1,0))</x:f>
        <x:v>1</x:v>
      </x:c>
    </x:row>
    <x:row r="26" ht="55" customHeight="1">
      <x:c r="A26" s="11" t="str">
        <x:v>t020</x:v>
      </x:c>
      <x:c r="B26" s="11" t="str">
        <x:v>I'd like to return the headphones I bought last week and get my money back. They're unopened.</x:v>
      </x:c>
      <x:c r="C26" s="11" t="str">
        <x:v>refund_request</x:v>
      </x:c>
      <x:c r="D26" s="12" t="str">
        <x:v>refund_request</x:v>
      </x:c>
      <x:c r="E26" s="11" t="str">
        <x:v>refund_request</x:v>
      </x:c>
      <x:c r="F26" s="11" t="str">
        <x:f>IF(D26="","PENDING",IF(E26=D26,"PASS","FAIL"))</x:f>
        <x:v>PASS</x:v>
      </x:c>
      <x:c r="G26" s="11" t="str">
        <x:v>refund_request</x:v>
      </x:c>
      <x:c r="H26" s="11" t="str">
        <x:f>IF(D26="","PENDING",IF(G26=D26,"PASS","FAIL"))</x:f>
        <x:v>PASS</x:v>
      </x:c>
      <x:c r="I26" s="11" t="str">
        <x:f>IF(OR(F26="PENDING",H26="PENDING"),"PENDING",IF(F26="FAIL",IF(H26="PASS","WIN","STILL_FAIL"),IF(H26="FAIL","REGRESSION","STILL_PASS")))</x:f>
        <x:v>STILL_PASS</x:v>
      </x:c>
      <x:c r="J26" s="11" t="str"/>
      <x:c r="K26" s="11" t="str"/>
      <x:c r="L26" s="12" t="str"/>
      <x:c r="M26" s="12" t="str"/>
      <x:c r="N26" s="11" t="n">
        <x:f>IF(F26="PENDING","",IF(F26="PASS",1,0))</x:f>
        <x:v>1</x:v>
      </x:c>
      <x:c r="O26" s="11" t="n">
        <x:f>IF(H26="PENDING","",IF(H26="PASS",1,0))</x:f>
        <x:v>1</x:v>
      </x:c>
    </x:row>
    <x:row r="27" ht="55" customHeight="1">
      <x:c r="A27" s="11" t="str">
        <x:v>t021</x:v>
      </x:c>
      <x:c r="B27" s="11" t="str">
        <x:v>I want to return the unopened headphones I purchased last week and get a refund. This is so frustrating!</x:v>
      </x:c>
      <x:c r="C27" s="11" t="str">
        <x:v>refund_request</x:v>
      </x:c>
      <x:c r="D27" s="12" t="str">
        <x:v>refund_request</x:v>
      </x:c>
      <x:c r="E27" s="11" t="str">
        <x:v>refund_request</x:v>
      </x:c>
      <x:c r="F27" s="11" t="str">
        <x:f>IF(D27="","PENDING",IF(E27=D27,"PASS","FAIL"))</x:f>
        <x:v>PASS</x:v>
      </x:c>
      <x:c r="G27" s="11" t="str">
        <x:v>refund_request</x:v>
      </x:c>
      <x:c r="H27" s="11" t="str">
        <x:f>IF(D27="","PENDING",IF(G27=D27,"PASS","FAIL"))</x:f>
        <x:v>PASS</x:v>
      </x:c>
      <x:c r="I27" s="11" t="str">
        <x:f>IF(OR(F27="PENDING",H27="PENDING"),"PENDING",IF(F27="FAIL",IF(H27="PASS","WIN","STILL_FAIL"),IF(H27="FAIL","REGRESSION","STILL_PASS")))</x:f>
        <x:v>STILL_PASS</x:v>
      </x:c>
      <x:c r="J27" s="11" t="str"/>
      <x:c r="K27" s="11" t="str"/>
      <x:c r="L27" s="12" t="str"/>
      <x:c r="M27" s="12" t="str"/>
      <x:c r="N27" s="11" t="n">
        <x:f>IF(F27="PENDING","",IF(F27="PASS",1,0))</x:f>
        <x:v>1</x:v>
      </x:c>
      <x:c r="O27" s="11" t="n">
        <x:f>IF(H27="PENDING","",IF(H27="PASS",1,0))</x:f>
        <x:v>1</x:v>
      </x:c>
    </x:row>
    <x:row r="28" ht="55" customHeight="1">
      <x:c r="A28" s="11" t="str">
        <x:v>t022</x:v>
      </x:c>
      <x:c r="B28" s="11" t="str">
        <x:v>Hello, I would like to initiate a return for the headphones I ordered last week. They are still in their original packaging, and I would appreciate a full refund. Thank you!</x:v>
      </x:c>
      <x:c r="C28" s="11" t="str">
        <x:v>refund_request</x:v>
      </x:c>
      <x:c r="D28" s="12" t="str">
        <x:v>refund_request</x:v>
      </x:c>
      <x:c r="E28" s="11" t="str">
        <x:v>refund_request</x:v>
      </x:c>
      <x:c r="F28" s="11" t="str">
        <x:f>IF(D28="","PENDING",IF(E28=D28,"PASS","FAIL"))</x:f>
        <x:v>PASS</x:v>
      </x:c>
      <x:c r="G28" s="11" t="str">
        <x:v>refund_request</x:v>
      </x:c>
      <x:c r="H28" s="11" t="str">
        <x:f>IF(D28="","PENDING",IF(G28=D28,"PASS","FAIL"))</x:f>
        <x:v>PASS</x:v>
      </x:c>
      <x:c r="I28" s="11" t="str">
        <x:f>IF(OR(F28="PENDING",H28="PENDING"),"PENDING",IF(F28="FAIL",IF(H28="PASS","WIN","STILL_FAIL"),IF(H28="FAIL","REGRESSION","STILL_PASS")))</x:f>
        <x:v>STILL_PASS</x:v>
      </x:c>
      <x:c r="J28" s="11" t="str"/>
      <x:c r="K28" s="11" t="str"/>
      <x:c r="L28" s="12" t="str"/>
      <x:c r="M28" s="12" t="str"/>
      <x:c r="N28" s="11" t="n">
        <x:f>IF(F28="PENDING","",IF(F28="PASS",1,0))</x:f>
        <x:v>1</x:v>
      </x:c>
      <x:c r="O28" s="11" t="n">
        <x:f>IF(H28="PENDING","",IF(H28="PASS",1,0))</x:f>
        <x:v>1</x:v>
      </x:c>
    </x:row>
    <x:row r="29" ht="55" customHeight="1">
      <x:c r="A29" s="11" t="str">
        <x:v>t023</x:v>
      </x:c>
      <x:c r="B29" s="11" t="str">
        <x:v>I'm trying to return the headphones I bought last week; they're still sealed. Can I get my money back?</x:v>
      </x:c>
      <x:c r="C29" s="11" t="str">
        <x:v>refund_request</x:v>
      </x:c>
      <x:c r="D29" s="12" t="str">
        <x:v>refund_request</x:v>
      </x:c>
      <x:c r="E29" s="11" t="str">
        <x:v>refund_request</x:v>
      </x:c>
      <x:c r="F29" s="11" t="str">
        <x:f>IF(D29="","PENDING",IF(E29=D29,"PASS","FAIL"))</x:f>
        <x:v>PASS</x:v>
      </x:c>
      <x:c r="G29" s="11" t="str">
        <x:v>refund_request</x:v>
      </x:c>
      <x:c r="H29" s="11" t="str">
        <x:f>IF(D29="","PENDING",IF(G29=D29,"PASS","FAIL"))</x:f>
        <x:v>PASS</x:v>
      </x:c>
      <x:c r="I29" s="11" t="str">
        <x:f>IF(OR(F29="PENDING",H29="PENDING"),"PENDING",IF(F29="FAIL",IF(H29="PASS","WIN","STILL_FAIL"),IF(H29="FAIL","REGRESSION","STILL_PASS")))</x:f>
        <x:v>STILL_PASS</x:v>
      </x:c>
      <x:c r="J29" s="11" t="str"/>
      <x:c r="K29" s="11" t="str"/>
      <x:c r="L29" s="12" t="str"/>
      <x:c r="M29" s="12" t="str"/>
      <x:c r="N29" s="11" t="n">
        <x:f>IF(F29="PENDING","",IF(F29="PASS",1,0))</x:f>
        <x:v>1</x:v>
      </x:c>
      <x:c r="O29" s="11" t="n">
        <x:f>IF(H29="PENDING","",IF(H29="PASS",1,0))</x:f>
        <x:v>1</x:v>
      </x:c>
    </x:row>
    <x:row r="30" ht="55" customHeight="1">
      <x:c r="A30" s="11" t="str">
        <x:v>t024</x:v>
      </x:c>
      <x:c r="B30" s="11" t="str">
        <x:v>Where is my refund? I returned the item two weeks ago and still nothing on my card.</x:v>
      </x:c>
      <x:c r="C30" s="11" t="str">
        <x:v>refund_request</x:v>
      </x:c>
      <x:c r="D30" s="12" t="str">
        <x:v>refund_request</x:v>
      </x:c>
      <x:c r="E30" s="11" t="str">
        <x:v>refund_request</x:v>
      </x:c>
      <x:c r="F30" s="11" t="str">
        <x:f>IF(D30="","PENDING",IF(E30=D30,"PASS","FAIL"))</x:f>
        <x:v>PASS</x:v>
      </x:c>
      <x:c r="G30" s="11" t="str">
        <x:v>refund_request</x:v>
      </x:c>
      <x:c r="H30" s="11" t="str">
        <x:f>IF(D30="","PENDING",IF(G30=D30,"PASS","FAIL"))</x:f>
        <x:v>PASS</x:v>
      </x:c>
      <x:c r="I30" s="11" t="str">
        <x:f>IF(OR(F30="PENDING",H30="PENDING"),"PENDING",IF(F30="FAIL",IF(H30="PASS","WIN","STILL_FAIL"),IF(H30="FAIL","REGRESSION","STILL_PASS")))</x:f>
        <x:v>STILL_PASS</x:v>
      </x:c>
      <x:c r="J30" s="11" t="str"/>
      <x:c r="K30" s="11" t="str"/>
      <x:c r="L30" s="12" t="str"/>
      <x:c r="M30" s="12" t="str"/>
      <x:c r="N30" s="11" t="n">
        <x:f>IF(F30="PENDING","",IF(F30="PASS",1,0))</x:f>
        <x:v>1</x:v>
      </x:c>
      <x:c r="O30" s="11" t="n">
        <x:f>IF(H30="PENDING","",IF(H30="PASS",1,0))</x:f>
        <x:v>1</x:v>
      </x:c>
    </x:row>
    <x:row r="31" ht="55" customHeight="1">
      <x:c r="A31" s="11" t="str">
        <x:v>t025</x:v>
      </x:c>
      <x:c r="B31" s="11" t="str">
        <x:v>I'm really frustrated right now! I sent back my order, number 2345, two weeks ago, and I've yet to see my refund hit my credit card. What’s the hold-up?</x:v>
      </x:c>
      <x:c r="C31" s="11" t="str">
        <x:v>refund_request</x:v>
      </x:c>
      <x:c r="D31" s="12" t="str">
        <x:v>refund_request</x:v>
      </x:c>
      <x:c r="E31" s="11" t="str">
        <x:v>refund_request</x:v>
      </x:c>
      <x:c r="F31" s="11" t="str">
        <x:f>IF(D31="","PENDING",IF(E31=D31,"PASS","FAIL"))</x:f>
        <x:v>PASS</x:v>
      </x:c>
      <x:c r="G31" s="11" t="str">
        <x:v>refund_request</x:v>
      </x:c>
      <x:c r="H31" s="11" t="str">
        <x:f>IF(D31="","PENDING",IF(G31=D31,"PASS","FAIL"))</x:f>
        <x:v>PASS</x:v>
      </x:c>
      <x:c r="I31" s="11" t="str">
        <x:f>IF(OR(F31="PENDING",H31="PENDING"),"PENDING",IF(F31="FAIL",IF(H31="PASS","WIN","STILL_FAIL"),IF(H31="FAIL","REGRESSION","STILL_PASS")))</x:f>
        <x:v>STILL_PASS</x:v>
      </x:c>
      <x:c r="J31" s="11" t="str"/>
      <x:c r="K31" s="11" t="str"/>
      <x:c r="L31" s="12" t="str"/>
      <x:c r="M31" s="12" t="str"/>
      <x:c r="N31" s="11" t="n">
        <x:f>IF(F31="PENDING","",IF(F31="PASS",1,0))</x:f>
        <x:v>1</x:v>
      </x:c>
      <x:c r="O31" s="11" t="n">
        <x:f>IF(H31="PENDING","",IF(H31="PASS",1,0))</x:f>
        <x:v>1</x:v>
      </x:c>
    </x:row>
    <x:row r="32" ht="62" customHeight="1">
      <x:c r="A32" s="11" t="str">
        <x:v>t026</x:v>
      </x:c>
      <x:c r="B32" s="11" t="str">
        <x:v>Hi there, I hope you’re doing well. I wanted to inquire about my refund for the item I returned (order #9876) two weeks ago; unfortunately, it hasn’t appeared on my card yet. Could you please help me with this?</x:v>
      </x:c>
      <x:c r="C32" s="11" t="str">
        <x:v>refund_request</x:v>
      </x:c>
      <x:c r="D32" s="12" t="str">
        <x:v>refund_request</x:v>
      </x:c>
      <x:c r="E32" s="11" t="str">
        <x:v>refund_request</x:v>
      </x:c>
      <x:c r="F32" s="11" t="str">
        <x:f>IF(D32="","PENDING",IF(E32=D32,"PASS","FAIL"))</x:f>
        <x:v>PASS</x:v>
      </x:c>
      <x:c r="G32" s="11" t="str">
        <x:v>refund_request</x:v>
      </x:c>
      <x:c r="H32" s="11" t="str">
        <x:f>IF(D32="","PENDING",IF(G32=D32,"PASS","FAIL"))</x:f>
        <x:v>PASS</x:v>
      </x:c>
      <x:c r="I32" s="11" t="str">
        <x:f>IF(OR(F32="PENDING",H32="PENDING"),"PENDING",IF(F32="FAIL",IF(H32="PASS","WIN","STILL_FAIL"),IF(H32="FAIL","REGRESSION","STILL_PASS")))</x:f>
        <x:v>STILL_PASS</x:v>
      </x:c>
      <x:c r="J32" s="11" t="str"/>
      <x:c r="K32" s="11" t="str"/>
      <x:c r="L32" s="12" t="str"/>
      <x:c r="M32" s="12" t="str"/>
      <x:c r="N32" s="11" t="n">
        <x:f>IF(F32="PENDING","",IF(F32="PASS",1,0))</x:f>
        <x:v>1</x:v>
      </x:c>
      <x:c r="O32" s="11" t="n">
        <x:f>IF(H32="PENDING","",IF(H32="PASS",1,0))</x:f>
        <x:v>1</x:v>
      </x:c>
    </x:row>
    <x:row r="33" ht="55" customHeight="1">
      <x:c r="A33" s="11" t="str">
        <x:v>t027</x:v>
      </x:c>
      <x:c r="B33" s="11" t="str">
        <x:v>Hey, can someone tell me what's going on with my refund? It’s been two weeks since I returned the item (order #5432) and I still haven't seen anything on my card. This is getting ridiculous!</x:v>
      </x:c>
      <x:c r="C33" s="11" t="str">
        <x:v>refund_request</x:v>
      </x:c>
      <x:c r="D33" s="12" t="str">
        <x:v>refund_request</x:v>
      </x:c>
      <x:c r="E33" s="11" t="str">
        <x:v>refund_request</x:v>
      </x:c>
      <x:c r="F33" s="11" t="str">
        <x:f>IF(D33="","PENDING",IF(E33=D33,"PASS","FAIL"))</x:f>
        <x:v>PASS</x:v>
      </x:c>
      <x:c r="G33" s="11" t="str">
        <x:v>refund_request</x:v>
      </x:c>
      <x:c r="H33" s="11" t="str">
        <x:f>IF(D33="","PENDING",IF(G33=D33,"PASS","FAIL"))</x:f>
        <x:v>PASS</x:v>
      </x:c>
      <x:c r="I33" s="11" t="str">
        <x:f>IF(OR(F33="PENDING",H33="PENDING"),"PENDING",IF(F33="FAIL",IF(H33="PASS","WIN","STILL_FAIL"),IF(H33="FAIL","REGRESSION","STILL_PASS")))</x:f>
        <x:v>STILL_PASS</x:v>
      </x:c>
      <x:c r="J33" s="11" t="str"/>
      <x:c r="K33" s="11" t="str"/>
      <x:c r="L33" s="12" t="str"/>
      <x:c r="M33" s="12" t="str"/>
      <x:c r="N33" s="11" t="n">
        <x:f>IF(F33="PENDING","",IF(F33="PASS",1,0))</x:f>
        <x:v>1</x:v>
      </x:c>
      <x:c r="O33" s="11" t="n">
        <x:f>IF(H33="PENDING","",IF(H33="PASS",1,0))</x:f>
        <x:v>1</x:v>
      </x:c>
    </x:row>
    <x:row r="34" ht="55" customHeight="1">
      <x:c r="A34" s="11" t="str">
        <x:v>t028</x:v>
      </x:c>
      <x:c r="B34" s="11" t="str">
        <x:v>Please cancel order 99021 and refund my card. I no longer need it.</x:v>
      </x:c>
      <x:c r="C34" s="11" t="str">
        <x:v>refund_request</x:v>
      </x:c>
      <x:c r="D34" s="12" t="str">
        <x:v>refund_request</x:v>
      </x:c>
      <x:c r="E34" s="11" t="str">
        <x:v>refund_request</x:v>
      </x:c>
      <x:c r="F34" s="11" t="str">
        <x:f>IF(D34="","PENDING",IF(E34=D34,"PASS","FAIL"))</x:f>
        <x:v>PASS</x:v>
      </x:c>
      <x:c r="G34" s="11" t="str">
        <x:v>refund_request</x:v>
      </x:c>
      <x:c r="H34" s="11" t="str">
        <x:f>IF(D34="","PENDING",IF(G34=D34,"PASS","FAIL"))</x:f>
        <x:v>PASS</x:v>
      </x:c>
      <x:c r="I34" s="11" t="str">
        <x:f>IF(OR(F34="PENDING",H34="PENDING"),"PENDING",IF(F34="FAIL",IF(H34="PASS","WIN","STILL_FAIL"),IF(H34="FAIL","REGRESSION","STILL_PASS")))</x:f>
        <x:v>STILL_PASS</x:v>
      </x:c>
      <x:c r="J34" s="11" t="str"/>
      <x:c r="K34" s="11" t="str"/>
      <x:c r="L34" s="12" t="str"/>
      <x:c r="M34" s="12" t="str"/>
      <x:c r="N34" s="11" t="n">
        <x:f>IF(F34="PENDING","",IF(F34="PASS",1,0))</x:f>
        <x:v>1</x:v>
      </x:c>
      <x:c r="O34" s="11" t="n">
        <x:f>IF(H34="PENDING","",IF(H34="PASS",1,0))</x:f>
        <x:v>1</x:v>
      </x:c>
    </x:row>
    <x:row r="35" ht="55" customHeight="1">
      <x:c r="A35" s="11" t="str">
        <x:v>t029</x:v>
      </x:c>
      <x:c r="B35" s="11" t="str">
        <x:v>I'm really frustrated right now. Can you please cancel my order 99021 and process a refund to my card? I don't need this anymore.</x:v>
      </x:c>
      <x:c r="C35" s="11" t="str">
        <x:v>refund_request</x:v>
      </x:c>
      <x:c r="D35" s="12" t="str">
        <x:v>refund_request</x:v>
      </x:c>
      <x:c r="E35" s="11" t="str">
        <x:v>refund_request</x:v>
      </x:c>
      <x:c r="F35" s="11" t="str">
        <x:f>IF(D35="","PENDING",IF(E35=D35,"PASS","FAIL"))</x:f>
        <x:v>PASS</x:v>
      </x:c>
      <x:c r="G35" s="11" t="str">
        <x:v>refund_request</x:v>
      </x:c>
      <x:c r="H35" s="11" t="str">
        <x:f>IF(D35="","PENDING",IF(G35=D35,"PASS","FAIL"))</x:f>
        <x:v>PASS</x:v>
      </x:c>
      <x:c r="I35" s="11" t="str">
        <x:f>IF(OR(F35="PENDING",H35="PENDING"),"PENDING",IF(F35="FAIL",IF(H35="PASS","WIN","STILL_FAIL"),IF(H35="FAIL","REGRESSION","STILL_PASS")))</x:f>
        <x:v>STILL_PASS</x:v>
      </x:c>
      <x:c r="J35" s="11" t="str"/>
      <x:c r="K35" s="11" t="str"/>
      <x:c r="L35" s="12" t="str"/>
      <x:c r="M35" s="12" t="str"/>
      <x:c r="N35" s="11" t="n">
        <x:f>IF(F35="PENDING","",IF(F35="PASS",1,0))</x:f>
        <x:v>1</x:v>
      </x:c>
      <x:c r="O35" s="11" t="n">
        <x:f>IF(H35="PENDING","",IF(H35="PASS",1,0))</x:f>
        <x:v>1</x:v>
      </x:c>
    </x:row>
    <x:row r="36" ht="55" customHeight="1">
      <x:c r="A36" s="11" t="str">
        <x:v>t030</x:v>
      </x:c>
      <x:c r="B36" s="11" t="str">
        <x:v>Hi there, I hope you're well! I would appreciate it if you could cancel my order 99021 and issue a refund to my card, as I've changed my mind on the purchase. Thank you!</x:v>
      </x:c>
      <x:c r="C36" s="11" t="str">
        <x:v>refund_request</x:v>
      </x:c>
      <x:c r="D36" s="12" t="str">
        <x:v>refund_request</x:v>
      </x:c>
      <x:c r="E36" s="11" t="str">
        <x:v>refund_request</x:v>
      </x:c>
      <x:c r="F36" s="11" t="str">
        <x:f>IF(D36="","PENDING",IF(E36=D36,"PASS","FAIL"))</x:f>
        <x:v>PASS</x:v>
      </x:c>
      <x:c r="G36" s="11" t="str">
        <x:v>refund_request</x:v>
      </x:c>
      <x:c r="H36" s="11" t="str">
        <x:f>IF(D36="","PENDING",IF(G36=D36,"PASS","FAIL"))</x:f>
        <x:v>PASS</x:v>
      </x:c>
      <x:c r="I36" s="11" t="str">
        <x:f>IF(OR(F36="PENDING",H36="PENDING"),"PENDING",IF(F36="FAIL",IF(H36="PASS","WIN","STILL_FAIL"),IF(H36="FAIL","REGRESSION","STILL_PASS")))</x:f>
        <x:v>STILL_PASS</x:v>
      </x:c>
      <x:c r="J36" s="11" t="str"/>
      <x:c r="K36" s="11" t="str"/>
      <x:c r="L36" s="12" t="str"/>
      <x:c r="M36" s="12" t="str"/>
      <x:c r="N36" s="11" t="n">
        <x:f>IF(F36="PENDING","",IF(F36="PASS",1,0))</x:f>
        <x:v>1</x:v>
      </x:c>
      <x:c r="O36" s="11" t="n">
        <x:f>IF(H36="PENDING","",IF(H36="PASS",1,0))</x:f>
        <x:v>1</x:v>
      </x:c>
    </x:row>
    <x:row r="37" ht="55" customHeight="1">
      <x:c r="A37" s="11" t="str">
        <x:v>t031</x:v>
      </x:c>
      <x:c r="B37" s="11" t="str">
        <x:v>Order 99021—please cancel and refund my card. I'm not interested anymore.</x:v>
      </x:c>
      <x:c r="C37" s="11" t="str">
        <x:v>refund_request</x:v>
      </x:c>
      <x:c r="D37" s="12" t="str">
        <x:v>refund_request</x:v>
      </x:c>
      <x:c r="E37" s="11" t="str">
        <x:v>refund_request</x:v>
      </x:c>
      <x:c r="F37" s="11" t="str">
        <x:f>IF(D37="","PENDING",IF(E37=D37,"PASS","FAIL"))</x:f>
        <x:v>PASS</x:v>
      </x:c>
      <x:c r="G37" s="11" t="str">
        <x:v>refund_request</x:v>
      </x:c>
      <x:c r="H37" s="11" t="str">
        <x:f>IF(D37="","PENDING",IF(G37=D37,"PASS","FAIL"))</x:f>
        <x:v>PASS</x:v>
      </x:c>
      <x:c r="I37" s="11" t="str">
        <x:f>IF(OR(F37="PENDING",H37="PENDING"),"PENDING",IF(F37="FAIL",IF(H37="PASS","WIN","STILL_FAIL"),IF(H37="FAIL","REGRESSION","STILL_PASS")))</x:f>
        <x:v>STILL_PASS</x:v>
      </x:c>
      <x:c r="J37" s="11" t="str"/>
      <x:c r="K37" s="11" t="str"/>
      <x:c r="L37" s="12" t="str"/>
      <x:c r="M37" s="12" t="str"/>
      <x:c r="N37" s="11" t="n">
        <x:f>IF(F37="PENDING","",IF(F37="PASS",1,0))</x:f>
        <x:v>1</x:v>
      </x:c>
      <x:c r="O37" s="11" t="n">
        <x:f>IF(H37="PENDING","",IF(H37="PASS",1,0))</x:f>
        <x:v>1</x:v>
      </x:c>
    </x:row>
    <x:row r="38" ht="55" customHeight="1">
      <x:c r="A38" s="11" t="str">
        <x:v>t032</x:v>
      </x:c>
      <x:c r="B38" s="11" t="str">
        <x:v>I was charged $89 but the website showed $79 at checkout. Please refund the difference.</x:v>
      </x:c>
      <x:c r="C38" s="11" t="str">
        <x:v>refund_request</x:v>
      </x:c>
      <x:c r="D38" s="12" t="str">
        <x:v>refund_request</x:v>
      </x:c>
      <x:c r="E38" s="11" t="str">
        <x:v>refund_request</x:v>
      </x:c>
      <x:c r="F38" s="11" t="str">
        <x:f>IF(D38="","PENDING",IF(E38=D38,"PASS","FAIL"))</x:f>
        <x:v>PASS</x:v>
      </x:c>
      <x:c r="G38" s="11" t="str">
        <x:v>refund_request</x:v>
      </x:c>
      <x:c r="H38" s="11" t="str">
        <x:f>IF(D38="","PENDING",IF(G38=D38,"PASS","FAIL"))</x:f>
        <x:v>PASS</x:v>
      </x:c>
      <x:c r="I38" s="11" t="str">
        <x:f>IF(OR(F38="PENDING",H38="PENDING"),"PENDING",IF(F38="FAIL",IF(H38="PASS","WIN","STILL_FAIL"),IF(H38="FAIL","REGRESSION","STILL_PASS")))</x:f>
        <x:v>STILL_PASS</x:v>
      </x:c>
      <x:c r="J38" s="11" t="str"/>
      <x:c r="K38" s="11" t="str"/>
      <x:c r="L38" s="12" t="str"/>
      <x:c r="M38" s="12" t="str"/>
      <x:c r="N38" s="11" t="n">
        <x:f>IF(F38="PENDING","",IF(F38="PASS",1,0))</x:f>
        <x:v>1</x:v>
      </x:c>
      <x:c r="O38" s="11" t="n">
        <x:f>IF(H38="PENDING","",IF(H38="PASS",1,0))</x:f>
        <x:v>1</x:v>
      </x:c>
    </x:row>
    <x:row r="39" ht="55" customHeight="1">
      <x:c r="A39" s="11" t="str">
        <x:v>t033</x:v>
      </x:c>
      <x:c r="B39" s="11" t="str">
        <x:v>I can't believe I was charged $89 when the checkout clearly said $79. This is ridiculous! Please refund the extra $10 immediately!</x:v>
      </x:c>
      <x:c r="C39" s="11" t="str">
        <x:v>refund_request</x:v>
      </x:c>
      <x:c r="D39" s="12" t="str">
        <x:v>refund_request</x:v>
      </x:c>
      <x:c r="E39" s="11" t="str">
        <x:v>refund_request</x:v>
      </x:c>
      <x:c r="F39" s="11" t="str">
        <x:f>IF(D39="","PENDING",IF(E39=D39,"PASS","FAIL"))</x:f>
        <x:v>PASS</x:v>
      </x:c>
      <x:c r="G39" s="11" t="str">
        <x:v>refund_request</x:v>
      </x:c>
      <x:c r="H39" s="11" t="str">
        <x:f>IF(D39="","PENDING",IF(G39=D39,"PASS","FAIL"))</x:f>
        <x:v>PASS</x:v>
      </x:c>
      <x:c r="I39" s="11" t="str">
        <x:f>IF(OR(F39="PENDING",H39="PENDING"),"PENDING",IF(F39="FAIL",IF(H39="PASS","WIN","STILL_FAIL"),IF(H39="FAIL","REGRESSION","STILL_PASS")))</x:f>
        <x:v>STILL_PASS</x:v>
      </x:c>
      <x:c r="J39" s="11" t="str"/>
      <x:c r="K39" s="11" t="str"/>
      <x:c r="L39" s="12" t="str"/>
      <x:c r="M39" s="12" t="str"/>
      <x:c r="N39" s="11" t="n">
        <x:f>IF(F39="PENDING","",IF(F39="PASS",1,0))</x:f>
        <x:v>1</x:v>
      </x:c>
      <x:c r="O39" s="11" t="n">
        <x:f>IF(H39="PENDING","",IF(H39="PASS",1,0))</x:f>
        <x:v>1</x:v>
      </x:c>
    </x:row>
    <x:row r="40" ht="55" customHeight="1">
      <x:c r="A40" s="11" t="str">
        <x:v>t034</x:v>
      </x:c>
      <x:c r="B40" s="11" t="str">
        <x:v>Hello, I noticed that I ended up paying $89 for my order, but it should have been $79 according to the checkout page. Could you assist me by refunding the difference? Thank you!</x:v>
      </x:c>
      <x:c r="C40" s="11" t="str">
        <x:v>refund_request</x:v>
      </x:c>
      <x:c r="D40" s="12" t="str">
        <x:v>refund_request</x:v>
      </x:c>
      <x:c r="E40" s="11" t="str">
        <x:v>refund_request</x:v>
      </x:c>
      <x:c r="F40" s="11" t="str">
        <x:f>IF(D40="","PENDING",IF(E40=D40,"PASS","FAIL"))</x:f>
        <x:v>PASS</x:v>
      </x:c>
      <x:c r="G40" s="11" t="str">
        <x:v>refund_request</x:v>
      </x:c>
      <x:c r="H40" s="11" t="str">
        <x:f>IF(D40="","PENDING",IF(G40=D40,"PASS","FAIL"))</x:f>
        <x:v>PASS</x:v>
      </x:c>
      <x:c r="I40" s="11" t="str">
        <x:f>IF(OR(F40="PENDING",H40="PENDING"),"PENDING",IF(F40="FAIL",IF(H40="PASS","WIN","STILL_FAIL"),IF(H40="FAIL","REGRESSION","STILL_PASS")))</x:f>
        <x:v>STILL_PASS</x:v>
      </x:c>
      <x:c r="J40" s="11" t="str"/>
      <x:c r="K40" s="11" t="str"/>
      <x:c r="L40" s="12" t="str"/>
      <x:c r="M40" s="12" t="str"/>
      <x:c r="N40" s="11" t="n">
        <x:f>IF(F40="PENDING","",IF(F40="PASS",1,0))</x:f>
        <x:v>1</x:v>
      </x:c>
      <x:c r="O40" s="11" t="n">
        <x:f>IF(H40="PENDING","",IF(H40="PASS",1,0))</x:f>
        <x:v>1</x:v>
      </x:c>
    </x:row>
    <x:row r="41" ht="55" customHeight="1">
      <x:c r="A41" s="11" t="str">
        <x:v>t035</x:v>
      </x:c>
      <x:c r="B41" s="11" t="str">
        <x:v>I was expecting to pay $79 as advertised, but somehow I got charged $89. Can you please fix this and refund me the difference?</x:v>
      </x:c>
      <x:c r="C41" s="11" t="str">
        <x:v>refund_request</x:v>
      </x:c>
      <x:c r="D41" s="12" t="str">
        <x:v>refund_request</x:v>
      </x:c>
      <x:c r="E41" s="11" t="str">
        <x:v>refund_request</x:v>
      </x:c>
      <x:c r="F41" s="11" t="str">
        <x:f>IF(D41="","PENDING",IF(E41=D41,"PASS","FAIL"))</x:f>
        <x:v>PASS</x:v>
      </x:c>
      <x:c r="G41" s="11" t="str">
        <x:v>refund_request</x:v>
      </x:c>
      <x:c r="H41" s="11" t="str">
        <x:f>IF(D41="","PENDING",IF(G41=D41,"PASS","FAIL"))</x:f>
        <x:v>PASS</x:v>
      </x:c>
      <x:c r="I41" s="11" t="str">
        <x:f>IF(OR(F41="PENDING",H41="PENDING"),"PENDING",IF(F41="FAIL",IF(H41="PASS","WIN","STILL_FAIL"),IF(H41="FAIL","REGRESSION","STILL_PASS")))</x:f>
        <x:v>STILL_PASS</x:v>
      </x:c>
      <x:c r="J41" s="11" t="str"/>
      <x:c r="K41" s="11" t="str"/>
      <x:c r="L41" s="12" t="str"/>
      <x:c r="M41" s="12" t="str"/>
      <x:c r="N41" s="11" t="n">
        <x:f>IF(F41="PENDING","",IF(F41="PASS",1,0))</x:f>
        <x:v>1</x:v>
      </x:c>
      <x:c r="O41" s="11" t="n">
        <x:f>IF(H41="PENDING","",IF(H41="PASS",1,0))</x:f>
        <x:v>1</x:v>
      </x:c>
    </x:row>
    <x:row r="42" ht="55" customHeight="1">
      <x:c r="A42" s="11" t="str">
        <x:v>t036</x:v>
      </x:c>
      <x:c r="B42" s="11" t="str">
        <x:v>Returning these for store credit is fine but honestly I'd prefer cash back to my original card.</x:v>
      </x:c>
      <x:c r="C42" s="11" t="str">
        <x:v>refund_request</x:v>
      </x:c>
      <x:c r="D42" s="12" t="str">
        <x:v>refund_request</x:v>
      </x:c>
      <x:c r="E42" s="11" t="str">
        <x:v>refund_request</x:v>
      </x:c>
      <x:c r="F42" s="11" t="str">
        <x:f>IF(D42="","PENDING",IF(E42=D42,"PASS","FAIL"))</x:f>
        <x:v>PASS</x:v>
      </x:c>
      <x:c r="G42" s="11" t="str">
        <x:v>refund_request</x:v>
      </x:c>
      <x:c r="H42" s="11" t="str">
        <x:f>IF(D42="","PENDING",IF(G42=D42,"PASS","FAIL"))</x:f>
        <x:v>PASS</x:v>
      </x:c>
      <x:c r="I42" s="11" t="str">
        <x:f>IF(OR(F42="PENDING",H42="PENDING"),"PENDING",IF(F42="FAIL",IF(H42="PASS","WIN","STILL_FAIL"),IF(H42="FAIL","REGRESSION","STILL_PASS")))</x:f>
        <x:v>STILL_PASS</x:v>
      </x:c>
      <x:c r="J42" s="11" t="str"/>
      <x:c r="K42" s="11" t="str"/>
      <x:c r="L42" s="12" t="str"/>
      <x:c r="M42" s="12" t="str"/>
      <x:c r="N42" s="11" t="n">
        <x:f>IF(F42="PENDING","",IF(F42="PASS",1,0))</x:f>
        <x:v>1</x:v>
      </x:c>
      <x:c r="O42" s="11" t="n">
        <x:f>IF(H42="PENDING","",IF(H42="PASS",1,0))</x:f>
        <x:v>1</x:v>
      </x:c>
    </x:row>
    <x:row r="43" ht="55" customHeight="1">
      <x:c r="A43" s="11" t="str">
        <x:v>t037</x:v>
      </x:c>
      <x:c r="B43" s="11" t="str">
        <x:v>I want to return these for store credit, but to be honest, I'd much rather have a refund to my card instead.</x:v>
      </x:c>
      <x:c r="C43" s="11" t="str">
        <x:v>refund_request</x:v>
      </x:c>
      <x:c r="D43" s="12" t="str">
        <x:v>refund_request</x:v>
      </x:c>
      <x:c r="E43" s="11" t="str">
        <x:v>refund_request</x:v>
      </x:c>
      <x:c r="F43" s="11" t="str">
        <x:f>IF(D43="","PENDING",IF(E43=D43,"PASS","FAIL"))</x:f>
        <x:v>PASS</x:v>
      </x:c>
      <x:c r="G43" s="11" t="str">
        <x:v>refund_request</x:v>
      </x:c>
      <x:c r="H43" s="11" t="str">
        <x:f>IF(D43="","PENDING",IF(G43=D43,"PASS","FAIL"))</x:f>
        <x:v>PASS</x:v>
      </x:c>
      <x:c r="I43" s="11" t="str">
        <x:f>IF(OR(F43="PENDING",H43="PENDING"),"PENDING",IF(F43="FAIL",IF(H43="PASS","WIN","STILL_FAIL"),IF(H43="FAIL","REGRESSION","STILL_PASS")))</x:f>
        <x:v>STILL_PASS</x:v>
      </x:c>
      <x:c r="J43" s="11" t="str"/>
      <x:c r="K43" s="11" t="str"/>
      <x:c r="L43" s="12" t="str"/>
      <x:c r="M43" s="12" t="str"/>
      <x:c r="N43" s="11" t="n">
        <x:f>IF(F43="PENDING","",IF(F43="PASS",1,0))</x:f>
        <x:v>1</x:v>
      </x:c>
      <x:c r="O43" s="11" t="n">
        <x:f>IF(H43="PENDING","",IF(H43="PASS",1,0))</x:f>
        <x:v>1</x:v>
      </x:c>
    </x:row>
    <x:row r="44" ht="55" customHeight="1">
      <x:c r="A44" s="11" t="str">
        <x:v>t038</x:v>
      </x:c>
      <x:c r="B44" s="11" t="str">
        <x:v>I guess store credit is okay for returning these, but honestly, I'd really prefer getting my money back to the card I used.</x:v>
      </x:c>
      <x:c r="C44" s="11" t="str">
        <x:v>refund_request</x:v>
      </x:c>
      <x:c r="D44" s="12" t="str">
        <x:v>refund_request</x:v>
      </x:c>
      <x:c r="E44" s="11" t="str">
        <x:v>refund_request</x:v>
      </x:c>
      <x:c r="F44" s="11" t="str">
        <x:f>IF(D44="","PENDING",IF(E44=D44,"PASS","FAIL"))</x:f>
        <x:v>PASS</x:v>
      </x:c>
      <x:c r="G44" s="11" t="str">
        <x:v>refund_request</x:v>
      </x:c>
      <x:c r="H44" s="11" t="str">
        <x:f>IF(D44="","PENDING",IF(G44=D44,"PASS","FAIL"))</x:f>
        <x:v>PASS</x:v>
      </x:c>
      <x:c r="I44" s="11" t="str">
        <x:f>IF(OR(F44="PENDING",H44="PENDING"),"PENDING",IF(F44="FAIL",IF(H44="PASS","WIN","STILL_FAIL"),IF(H44="FAIL","REGRESSION","STILL_PASS")))</x:f>
        <x:v>STILL_PASS</x:v>
      </x:c>
      <x:c r="J44" s="11" t="str"/>
      <x:c r="K44" s="11" t="str"/>
      <x:c r="L44" s="12" t="str"/>
      <x:c r="M44" s="12" t="str"/>
      <x:c r="N44" s="11" t="n">
        <x:f>IF(F44="PENDING","",IF(F44="PASS",1,0))</x:f>
        <x:v>1</x:v>
      </x:c>
      <x:c r="O44" s="11" t="n">
        <x:f>IF(H44="PENDING","",IF(H44="PASS",1,0))</x:f>
        <x:v>1</x:v>
      </x:c>
    </x:row>
    <x:row r="45" ht="55" customHeight="1">
      <x:c r="A45" s="11" t="str">
        <x:v>t039</x:v>
      </x:c>
      <x:c r="B45" s="11" t="str">
        <x:v>While returning these for store credit works, I would much rather receive a cash refund back onto my original card, if possible.</x:v>
      </x:c>
      <x:c r="C45" s="11" t="str">
        <x:v>refund_request</x:v>
      </x:c>
      <x:c r="D45" s="12" t="str">
        <x:v>refund_request</x:v>
      </x:c>
      <x:c r="E45" s="11" t="str">
        <x:v>refund_request</x:v>
      </x:c>
      <x:c r="F45" s="11" t="str">
        <x:f>IF(D45="","PENDING",IF(E45=D45,"PASS","FAIL"))</x:f>
        <x:v>PASS</x:v>
      </x:c>
      <x:c r="G45" s="11" t="str">
        <x:v>refund_request</x:v>
      </x:c>
      <x:c r="H45" s="11" t="str">
        <x:f>IF(D45="","PENDING",IF(G45=D45,"PASS","FAIL"))</x:f>
        <x:v>PASS</x:v>
      </x:c>
      <x:c r="I45" s="11" t="str">
        <x:f>IF(OR(F45="PENDING",H45="PENDING"),"PENDING",IF(F45="FAIL",IF(H45="PASS","WIN","STILL_FAIL"),IF(H45="FAIL","REGRESSION","STILL_PASS")))</x:f>
        <x:v>STILL_PASS</x:v>
      </x:c>
      <x:c r="J45" s="11" t="str"/>
      <x:c r="K45" s="11" t="str"/>
      <x:c r="L45" s="12" t="str"/>
      <x:c r="M45" s="12" t="str"/>
      <x:c r="N45" s="11" t="n">
        <x:f>IF(F45="PENDING","",IF(F45="PASS",1,0))</x:f>
        <x:v>1</x:v>
      </x:c>
      <x:c r="O45" s="11" t="n">
        <x:f>IF(H45="PENDING","",IF(H45="PASS",1,0))</x:f>
        <x:v>1</x:v>
      </x:c>
    </x:row>
    <x:row r="46" ht="55" customHeight="1">
      <x:c r="A46" s="11" t="str">
        <x:v>t040</x:v>
      </x:c>
      <x:c r="B46" s="11" t="str">
        <x:v>The coffee maker arrived with a cracked carafe. Really disappointed.</x:v>
      </x:c>
      <x:c r="C46" s="11" t="str">
        <x:v>product_issue</x:v>
      </x:c>
      <x:c r="D46" s="12" t="str">
        <x:v>product_issue</x:v>
      </x:c>
      <x:c r="E46" s="11" t="str">
        <x:v>product_issue</x:v>
      </x:c>
      <x:c r="F46" s="11" t="str">
        <x:f>IF(D46="","PENDING",IF(E46=D46,"PASS","FAIL"))</x:f>
        <x:v>PASS</x:v>
      </x:c>
      <x:c r="G46" s="11" t="str">
        <x:v>product_issue</x:v>
      </x:c>
      <x:c r="H46" s="11" t="str">
        <x:f>IF(D46="","PENDING",IF(G46=D46,"PASS","FAIL"))</x:f>
        <x:v>PASS</x:v>
      </x:c>
      <x:c r="I46" s="11" t="str">
        <x:f>IF(OR(F46="PENDING",H46="PENDING"),"PENDING",IF(F46="FAIL",IF(H46="PASS","WIN","STILL_FAIL"),IF(H46="FAIL","REGRESSION","STILL_PASS")))</x:f>
        <x:v>STILL_PASS</x:v>
      </x:c>
      <x:c r="J46" s="11" t="str"/>
      <x:c r="K46" s="11" t="str"/>
      <x:c r="L46" s="12" t="str"/>
      <x:c r="M46" s="12" t="str"/>
      <x:c r="N46" s="11" t="n">
        <x:f>IF(F46="PENDING","",IF(F46="PASS",1,0))</x:f>
        <x:v>1</x:v>
      </x:c>
      <x:c r="O46" s="11" t="n">
        <x:f>IF(H46="PENDING","",IF(H46="PASS",1,0))</x:f>
        <x:v>1</x:v>
      </x:c>
    </x:row>
    <x:row r="47" ht="55" customHeight="1">
      <x:c r="A47" s="11" t="str">
        <x:v>t041</x:v>
      </x:c>
      <x:c r="B47" s="11" t="str">
        <x:v>I can't believe the coffee maker I ordered came with a shattered carafe. What a letdown!</x:v>
      </x:c>
      <x:c r="C47" s="11" t="str">
        <x:v>product_issue</x:v>
      </x:c>
      <x:c r="D47" s="12" t="str">
        <x:v>product_issue</x:v>
      </x:c>
      <x:c r="E47" s="11" t="str">
        <x:v>product_issue</x:v>
      </x:c>
      <x:c r="F47" s="11" t="str">
        <x:f>IF(D47="","PENDING",IF(E47=D47,"PASS","FAIL"))</x:f>
        <x:v>PASS</x:v>
      </x:c>
      <x:c r="G47" s="11" t="str">
        <x:v>product_issue</x:v>
      </x:c>
      <x:c r="H47" s="11" t="str">
        <x:f>IF(D47="","PENDING",IF(G47=D47,"PASS","FAIL"))</x:f>
        <x:v>PASS</x:v>
      </x:c>
      <x:c r="I47" s="11" t="str">
        <x:f>IF(OR(F47="PENDING",H47="PENDING"),"PENDING",IF(F47="FAIL",IF(H47="PASS","WIN","STILL_FAIL"),IF(H47="FAIL","REGRESSION","STILL_PASS")))</x:f>
        <x:v>STILL_PASS</x:v>
      </x:c>
      <x:c r="J47" s="11" t="str"/>
      <x:c r="K47" s="11" t="str"/>
      <x:c r="L47" s="12" t="str"/>
      <x:c r="M47" s="12" t="str"/>
      <x:c r="N47" s="11" t="n">
        <x:f>IF(F47="PENDING","",IF(F47="PASS",1,0))</x:f>
        <x:v>1</x:v>
      </x:c>
      <x:c r="O47" s="11" t="n">
        <x:f>IF(H47="PENDING","",IF(H47="PASS",1,0))</x:f>
        <x:v>1</x:v>
      </x:c>
    </x:row>
    <x:row r="48" ht="55" customHeight="1">
      <x:c r="A48" s="11" t="str">
        <x:v>t042</x:v>
      </x:c>
      <x:c r="B48" s="11" t="str">
        <x:v>Hi, I received my coffee maker today, but the carafe is broken. I'm quite upset about this.</x:v>
      </x:c>
      <x:c r="C48" s="11" t="str">
        <x:v>product_issue</x:v>
      </x:c>
      <x:c r="D48" s="12" t="str">
        <x:v>product_issue</x:v>
      </x:c>
      <x:c r="E48" s="11" t="str">
        <x:v>product_issue</x:v>
      </x:c>
      <x:c r="F48" s="11" t="str">
        <x:f>IF(D48="","PENDING",IF(E48=D48,"PASS","FAIL"))</x:f>
        <x:v>PASS</x:v>
      </x:c>
      <x:c r="G48" s="11" t="str">
        <x:v>product_issue</x:v>
      </x:c>
      <x:c r="H48" s="11" t="str">
        <x:f>IF(D48="","PENDING",IF(G48=D48,"PASS","FAIL"))</x:f>
        <x:v>PASS</x:v>
      </x:c>
      <x:c r="I48" s="11" t="str">
        <x:f>IF(OR(F48="PENDING",H48="PENDING"),"PENDING",IF(F48="FAIL",IF(H48="PASS","WIN","STILL_FAIL"),IF(H48="FAIL","REGRESSION","STILL_PASS")))</x:f>
        <x:v>STILL_PASS</x:v>
      </x:c>
      <x:c r="J48" s="11" t="str"/>
      <x:c r="K48" s="11" t="str"/>
      <x:c r="L48" s="12" t="str"/>
      <x:c r="M48" s="12" t="str"/>
      <x:c r="N48" s="11" t="n">
        <x:f>IF(F48="PENDING","",IF(F48="PASS",1,0))</x:f>
        <x:v>1</x:v>
      </x:c>
      <x:c r="O48" s="11" t="n">
        <x:f>IF(H48="PENDING","",IF(H48="PASS",1,0))</x:f>
        <x:v>1</x:v>
      </x:c>
    </x:row>
    <x:row r="49" ht="55" customHeight="1">
      <x:c r="A49" s="11" t="str">
        <x:v>t043</x:v>
      </x:c>
      <x:c r="B49" s="11" t="str">
        <x:v>Order #12345 just arrived, and guess what? The carafe on the coffee maker is cracked. This is so disappointing!</x:v>
      </x:c>
      <x:c r="C49" s="11" t="str">
        <x:v>product_issue</x:v>
      </x:c>
      <x:c r="D49" s="12" t="str">
        <x:v>product_issue</x:v>
      </x:c>
      <x:c r="E49" s="11" t="str">
        <x:v>product_issue</x:v>
      </x:c>
      <x:c r="F49" s="11" t="str">
        <x:f>IF(D49="","PENDING",IF(E49=D49,"PASS","FAIL"))</x:f>
        <x:v>PASS</x:v>
      </x:c>
      <x:c r="G49" s="11" t="str">
        <x:v>product_issue</x:v>
      </x:c>
      <x:c r="H49" s="11" t="str">
        <x:f>IF(D49="","PENDING",IF(G49=D49,"PASS","FAIL"))</x:f>
        <x:v>PASS</x:v>
      </x:c>
      <x:c r="I49" s="11" t="str">
        <x:f>IF(OR(F49="PENDING",H49="PENDING"),"PENDING",IF(F49="FAIL",IF(H49="PASS","WIN","STILL_FAIL"),IF(H49="FAIL","REGRESSION","STILL_PASS")))</x:f>
        <x:v>STILL_PASS</x:v>
      </x:c>
      <x:c r="J49" s="11" t="str"/>
      <x:c r="K49" s="11" t="str"/>
      <x:c r="L49" s="12" t="str"/>
      <x:c r="M49" s="12" t="str"/>
      <x:c r="N49" s="11" t="n">
        <x:f>IF(F49="PENDING","",IF(F49="PASS",1,0))</x:f>
        <x:v>1</x:v>
      </x:c>
      <x:c r="O49" s="11" t="n">
        <x:f>IF(H49="PENDING","",IF(H49="PASS",1,0))</x:f>
        <x:v>1</x:v>
      </x:c>
    </x:row>
    <x:row r="50" ht="55" customHeight="1">
      <x:c r="A50" s="11" t="str">
        <x:v>t044</x:v>
      </x:c>
      <x:c r="B50" s="11" t="str">
        <x:v>My laptop arrived damaged and I want a full refund, not a replacement.</x:v>
      </x:c>
      <x:c r="C50" s="11" t="str">
        <x:v>product_issue</x:v>
      </x:c>
      <x:c r="D50" s="12" t="str">
        <x:v>product_issue</x:v>
      </x:c>
      <x:c r="E50" s="11" t="str">
        <x:v>refund_request</x:v>
      </x:c>
      <x:c r="F50" s="11" t="str">
        <x:f>IF(D50="","PENDING",IF(E50=D50,"PASS","FAIL"))</x:f>
        <x:v>FAIL</x:v>
      </x:c>
      <x:c r="G50" s="11" t="str">
        <x:v>product_issue</x:v>
      </x:c>
      <x:c r="H50" s="11" t="str">
        <x:f>IF(D50="","PENDING",IF(G50=D50,"PASS","FAIL"))</x:f>
        <x:v>PASS</x:v>
      </x:c>
      <x:c r="I50" s="11" t="str">
        <x:f>IF(OR(F50="PENDING",H50="PENDING"),"PENDING",IF(F50="FAIL",IF(H50="PASS","WIN","STILL_FAIL"),IF(H50="FAIL","REGRESSION","STILL_PASS")))</x:f>
        <x:v>WIN</x:v>
      </x:c>
      <x:c r="J50" s="11" t="str">
        <x:v>Requested remedy overrides underlying problem</x:v>
      </x:c>
      <x:c r="K50" s="11" t="str">
        <x:v>The ticket describes a damaged or broken laptop and requests a refund. The prediction follows the refund request; the supplied routing policy assigns the damaged item to product_issue.</x:v>
      </x:c>
      <x:c r="L50" s="12" t="str">
        <x:v>product_issue</x:v>
      </x:c>
      <x:c r="M50" s="12" t="str">
        <x:v>Approved</x:v>
      </x:c>
      <x:c r="N50" s="11" t="n">
        <x:f>IF(F50="PENDING","",IF(F50="PASS",1,0))</x:f>
        <x:v>0</x:v>
      </x:c>
      <x:c r="O50" s="11" t="n">
        <x:f>IF(H50="PENDING","",IF(H50="PASS",1,0))</x:f>
        <x:v>1</x:v>
      </x:c>
    </x:row>
    <x:row r="51" ht="98" customHeight="1">
      <x:c r="A51" s="11" t="str">
        <x:v>t045</x:v>
      </x:c>
      <x:c r="B51" s="11" t="str">
        <x:v>I received my laptop in awful condition and I'm not interested in a replacement. I just want my money back, please.</x:v>
      </x:c>
      <x:c r="C51" s="11" t="str">
        <x:v>product_issue</x:v>
      </x:c>
      <x:c r="D51" s="12" t="str">
        <x:v>product_issue</x:v>
      </x:c>
      <x:c r="E51" s="11" t="str">
        <x:v>refund_request</x:v>
      </x:c>
      <x:c r="F51" s="11" t="str">
        <x:f>IF(D51="","PENDING",IF(E51=D51,"PASS","FAIL"))</x:f>
        <x:v>FAIL</x:v>
      </x:c>
      <x:c r="G51" s="11" t="str">
        <x:v>product_issue</x:v>
      </x:c>
      <x:c r="H51" s="11" t="str">
        <x:f>IF(D51="","PENDING",IF(G51=D51,"PASS","FAIL"))</x:f>
        <x:v>PASS</x:v>
      </x:c>
      <x:c r="I51" s="11" t="str">
        <x:f>IF(OR(F51="PENDING",H51="PENDING"),"PENDING",IF(F51="FAIL",IF(H51="PASS","WIN","STILL_FAIL"),IF(H51="FAIL","REGRESSION","STILL_PASS")))</x:f>
        <x:v>WIN</x:v>
      </x:c>
      <x:c r="J51" s="11" t="str">
        <x:v>Requested remedy overrides underlying problem</x:v>
      </x:c>
      <x:c r="K51" s="11" t="str">
        <x:v>The ticket describes a damaged or broken laptop and requests a refund. The prediction follows the refund request; the supplied routing policy assigns the damaged item to product_issue.</x:v>
      </x:c>
      <x:c r="L51" s="12" t="str">
        <x:v>Draft explanation: The customer describes a damaged or broken laptop and requests a refund as the remedy. Under the current routing policy, the product problem determines product_issue. The baseline follows the refund wording and fails; the revised prediction is correct.</x:v>
      </x:c>
      <x:c r="M51" s="12" t="str">
        <x:v>Approved</x:v>
      </x:c>
      <x:c r="N51" s="11" t="n">
        <x:f>IF(F51="PENDING","",IF(F51="PASS",1,0))</x:f>
        <x:v>0</x:v>
      </x:c>
      <x:c r="O51" s="11" t="n">
        <x:f>IF(H51="PENDING","",IF(H51="PASS",1,0))</x:f>
        <x:v>1</x:v>
      </x:c>
    </x:row>
    <x:row r="52" ht="55" customHeight="1">
      <x:c r="A52" s="11" t="str">
        <x:v>t046</x:v>
      </x:c>
      <x:c r="B52" s="11" t="str">
        <x:v>Hey, my laptop showed up damaged, and I would prefer to get a full refund instead of receiving a new one.</x:v>
      </x:c>
      <x:c r="C52" s="11" t="str">
        <x:v>product_issue</x:v>
      </x:c>
      <x:c r="D52" s="12" t="str">
        <x:v>product_issue</x:v>
      </x:c>
      <x:c r="E52" s="11" t="str">
        <x:v>refund_request</x:v>
      </x:c>
      <x:c r="F52" s="11" t="str">
        <x:f>IF(D52="","PENDING",IF(E52=D52,"PASS","FAIL"))</x:f>
        <x:v>FAIL</x:v>
      </x:c>
      <x:c r="G52" s="11" t="str">
        <x:v>product_issue</x:v>
      </x:c>
      <x:c r="H52" s="11" t="str">
        <x:f>IF(D52="","PENDING",IF(G52=D52,"PASS","FAIL"))</x:f>
        <x:v>PASS</x:v>
      </x:c>
      <x:c r="I52" s="11" t="str">
        <x:f>IF(OR(F52="PENDING",H52="PENDING"),"PENDING",IF(F52="FAIL",IF(H52="PASS","WIN","STILL_FAIL"),IF(H52="FAIL","REGRESSION","STILL_PASS")))</x:f>
        <x:v>WIN</x:v>
      </x:c>
      <x:c r="J52" s="11" t="str">
        <x:v>Requested remedy overrides underlying problem</x:v>
      </x:c>
      <x:c r="K52" s="11" t="str">
        <x:v>The ticket describes a damaged or broken laptop and requests a refund. The prediction follows the refund request; the supplied routing policy assigns the damaged item to product_issue.</x:v>
      </x:c>
      <x:c r="L52" s="12" t="str">
        <x:v>product_issue</x:v>
      </x:c>
      <x:c r="M52" s="12" t="str">
        <x:v>Approved</x:v>
      </x:c>
      <x:c r="N52" s="11" t="n">
        <x:f>IF(F52="PENDING","",IF(F52="PASS",1,0))</x:f>
        <x:v>0</x:v>
      </x:c>
      <x:c r="O52" s="11" t="n">
        <x:f>IF(H52="PENDING","",IF(H52="PASS",1,0))</x:f>
        <x:v>1</x:v>
      </x:c>
    </x:row>
    <x:row r="53" ht="98" customHeight="1">
      <x:c r="A53" s="11" t="str">
        <x:v>t047</x:v>
      </x:c>
      <x:c r="B53" s="11" t="str">
        <x:v>The laptop I ordered is broken, and I refuse to accept a replacement. I simply want a complete refund.</x:v>
      </x:c>
      <x:c r="C53" s="11" t="str">
        <x:v>product_issue</x:v>
      </x:c>
      <x:c r="D53" s="12" t="str">
        <x:v>product_issue</x:v>
      </x:c>
      <x:c r="E53" s="11" t="str">
        <x:v>refund_request</x:v>
      </x:c>
      <x:c r="F53" s="11" t="str">
        <x:f>IF(D53="","PENDING",IF(E53=D53,"PASS","FAIL"))</x:f>
        <x:v>FAIL</x:v>
      </x:c>
      <x:c r="G53" s="11" t="str">
        <x:v>product_issue</x:v>
      </x:c>
      <x:c r="H53" s="11" t="str">
        <x:f>IF(D53="","PENDING",IF(G53=D53,"PASS","FAIL"))</x:f>
        <x:v>PASS</x:v>
      </x:c>
      <x:c r="I53" s="11" t="str">
        <x:f>IF(OR(F53="PENDING",H53="PENDING"),"PENDING",IF(F53="FAIL",IF(H53="PASS","WIN","STILL_FAIL"),IF(H53="FAIL","REGRESSION","STILL_PASS")))</x:f>
        <x:v>WIN</x:v>
      </x:c>
      <x:c r="J53" s="11" t="str">
        <x:v>Requested remedy overrides underlying problem</x:v>
      </x:c>
      <x:c r="K53" s="11" t="str">
        <x:v>The ticket describes a damaged or broken laptop and requests a refund. The prediction follows the refund request; the supplied routing policy assigns the damaged item to product_issue.</x:v>
      </x:c>
      <x:c r="L53" s="12" t="str">
        <x:v>Draft explanation: The customer describes a damaged or broken laptop and requests a refund as the remedy. Under the current routing policy, the product problem determines product_issue. The baseline follows the refund wording and fails; the revised prediction is correct.</x:v>
      </x:c>
      <x:c r="M53" s="12" t="str">
        <x:v>Approved</x:v>
      </x:c>
      <x:c r="N53" s="11" t="n">
        <x:f>IF(F53="PENDING","",IF(F53="PASS",1,0))</x:f>
        <x:v>0</x:v>
      </x:c>
      <x:c r="O53" s="11" t="n">
        <x:f>IF(H53="PENDING","",IF(H53="PASS",1,0))</x:f>
        <x:v>1</x:v>
      </x:c>
    </x:row>
    <x:row r="54" ht="55" customHeight="1">
      <x:c r="A54" s="11" t="str">
        <x:v>t048</x:v>
      </x:c>
      <x:c r="B54" s="11" t="str">
        <x:v>You sent me a size medium shirt but I ordered a large. Second time this has happened.</x:v>
      </x:c>
      <x:c r="C54" s="11" t="str">
        <x:v>product_issue</x:v>
      </x:c>
      <x:c r="D54" s="12" t="str">
        <x:v>product_issue</x:v>
      </x:c>
      <x:c r="E54" s="11" t="str">
        <x:v>product_issue</x:v>
      </x:c>
      <x:c r="F54" s="11" t="str">
        <x:f>IF(D54="","PENDING",IF(E54=D54,"PASS","FAIL"))</x:f>
        <x:v>PASS</x:v>
      </x:c>
      <x:c r="G54" s="11" t="str">
        <x:v>product_issue</x:v>
      </x:c>
      <x:c r="H54" s="11" t="str">
        <x:f>IF(D54="","PENDING",IF(G54=D54,"PASS","FAIL"))</x:f>
        <x:v>PASS</x:v>
      </x:c>
      <x:c r="I54" s="11" t="str">
        <x:f>IF(OR(F54="PENDING",H54="PENDING"),"PENDING",IF(F54="FAIL",IF(H54="PASS","WIN","STILL_FAIL"),IF(H54="FAIL","REGRESSION","STILL_PASS")))</x:f>
        <x:v>STILL_PASS</x:v>
      </x:c>
      <x:c r="J54" s="11" t="str"/>
      <x:c r="K54" s="11" t="str"/>
      <x:c r="L54" s="12" t="str"/>
      <x:c r="M54" s="12" t="str"/>
      <x:c r="N54" s="11" t="n">
        <x:f>IF(F54="PENDING","",IF(F54="PASS",1,0))</x:f>
        <x:v>1</x:v>
      </x:c>
      <x:c r="O54" s="11" t="n">
        <x:f>IF(H54="PENDING","",IF(H54="PASS",1,0))</x:f>
        <x:v>1</x:v>
      </x:c>
    </x:row>
    <x:row r="55" ht="55" customHeight="1">
      <x:c r="A55" s="11" t="str">
        <x:v>t049</x:v>
      </x:c>
      <x:c r="B55" s="11" t="str">
        <x:v>I'm really frustrated because you sent me a medium shirt instead of the large I ordered. This is the second time I've experienced this issue!</x:v>
      </x:c>
      <x:c r="C55" s="11" t="str">
        <x:v>product_issue</x:v>
      </x:c>
      <x:c r="D55" s="12" t="str">
        <x:v>product_issue</x:v>
      </x:c>
      <x:c r="E55" s="11" t="str">
        <x:v>product_issue</x:v>
      </x:c>
      <x:c r="F55" s="11" t="str">
        <x:f>IF(D55="","PENDING",IF(E55=D55,"PASS","FAIL"))</x:f>
        <x:v>PASS</x:v>
      </x:c>
      <x:c r="G55" s="11" t="str">
        <x:v>product_issue</x:v>
      </x:c>
      <x:c r="H55" s="11" t="str">
        <x:f>IF(D55="","PENDING",IF(G55=D55,"PASS","FAIL"))</x:f>
        <x:v>PASS</x:v>
      </x:c>
      <x:c r="I55" s="11" t="str">
        <x:f>IF(OR(F55="PENDING",H55="PENDING"),"PENDING",IF(F55="FAIL",IF(H55="PASS","WIN","STILL_FAIL"),IF(H55="FAIL","REGRESSION","STILL_PASS")))</x:f>
        <x:v>STILL_PASS</x:v>
      </x:c>
      <x:c r="J55" s="11" t="str"/>
      <x:c r="K55" s="11" t="str"/>
      <x:c r="L55" s="12" t="str"/>
      <x:c r="M55" s="12" t="str"/>
      <x:c r="N55" s="11" t="n">
        <x:f>IF(F55="PENDING","",IF(F55="PASS",1,0))</x:f>
        <x:v>1</x:v>
      </x:c>
      <x:c r="O55" s="11" t="n">
        <x:f>IF(H55="PENDING","",IF(H55="PASS",1,0))</x:f>
        <x:v>1</x:v>
      </x:c>
    </x:row>
    <x:row r="56" ht="55" customHeight="1">
      <x:c r="A56" s="11" t="str">
        <x:v>t050</x:v>
      </x:c>
      <x:c r="B56" s="11" t="str">
        <x:v>I've received a medium shirt when I clearly ordered a large. This is getting ridiculous; it's already happened once before!</x:v>
      </x:c>
      <x:c r="C56" s="11" t="str">
        <x:v>product_issue</x:v>
      </x:c>
      <x:c r="D56" s="12" t="str">
        <x:v>product_issue</x:v>
      </x:c>
      <x:c r="E56" s="11" t="str">
        <x:v>product_issue</x:v>
      </x:c>
      <x:c r="F56" s="11" t="str">
        <x:f>IF(D56="","PENDING",IF(E56=D56,"PASS","FAIL"))</x:f>
        <x:v>PASS</x:v>
      </x:c>
      <x:c r="G56" s="11" t="str">
        <x:v>product_issue</x:v>
      </x:c>
      <x:c r="H56" s="11" t="str">
        <x:f>IF(D56="","PENDING",IF(G56=D56,"PASS","FAIL"))</x:f>
        <x:v>PASS</x:v>
      </x:c>
      <x:c r="I56" s="11" t="str">
        <x:f>IF(OR(F56="PENDING",H56="PENDING"),"PENDING",IF(F56="FAIL",IF(H56="PASS","WIN","STILL_FAIL"),IF(H56="FAIL","REGRESSION","STILL_PASS")))</x:f>
        <x:v>STILL_PASS</x:v>
      </x:c>
      <x:c r="J56" s="11" t="str"/>
      <x:c r="K56" s="11" t="str"/>
      <x:c r="L56" s="12" t="str"/>
      <x:c r="M56" s="12" t="str"/>
      <x:c r="N56" s="11" t="n">
        <x:f>IF(F56="PENDING","",IF(F56="PASS",1,0))</x:f>
        <x:v>1</x:v>
      </x:c>
      <x:c r="O56" s="11" t="n">
        <x:f>IF(H56="PENDING","",IF(H56="PASS",1,0))</x:f>
        <x:v>1</x:v>
      </x:c>
    </x:row>
    <x:row r="57" ht="55" customHeight="1">
      <x:c r="A57" s="11" t="str">
        <x:v>t051</x:v>
      </x:c>
      <x:c r="B57" s="11" t="str">
        <x:v>It’s unfortunate that I was sent a medium shirt instead of the large I requested. This is the second occurrence of this problem and it’s quite disappointing.</x:v>
      </x:c>
      <x:c r="C57" s="11" t="str">
        <x:v>product_issue</x:v>
      </x:c>
      <x:c r="D57" s="12" t="str">
        <x:v>product_issue</x:v>
      </x:c>
      <x:c r="E57" s="11" t="str">
        <x:v>product_issue</x:v>
      </x:c>
      <x:c r="F57" s="11" t="str">
        <x:f>IF(D57="","PENDING",IF(E57=D57,"PASS","FAIL"))</x:f>
        <x:v>PASS</x:v>
      </x:c>
      <x:c r="G57" s="11" t="str">
        <x:v>product_issue</x:v>
      </x:c>
      <x:c r="H57" s="11" t="str">
        <x:f>IF(D57="","PENDING",IF(G57=D57,"PASS","FAIL"))</x:f>
        <x:v>PASS</x:v>
      </x:c>
      <x:c r="I57" s="11" t="str">
        <x:f>IF(OR(F57="PENDING",H57="PENDING"),"PENDING",IF(F57="FAIL",IF(H57="PASS","WIN","STILL_FAIL"),IF(H57="FAIL","REGRESSION","STILL_PASS")))</x:f>
        <x:v>STILL_PASS</x:v>
      </x:c>
      <x:c r="J57" s="11" t="str"/>
      <x:c r="K57" s="11" t="str"/>
      <x:c r="L57" s="12" t="str"/>
      <x:c r="M57" s="12" t="str"/>
      <x:c r="N57" s="11" t="n">
        <x:f>IF(F57="PENDING","",IF(F57="PASS",1,0))</x:f>
        <x:v>1</x:v>
      </x:c>
      <x:c r="O57" s="11" t="n">
        <x:f>IF(H57="PENDING","",IF(H57="PASS",1,0))</x:f>
        <x:v>1</x:v>
      </x:c>
    </x:row>
    <x:row r="58" ht="55" customHeight="1">
      <x:c r="A58" s="11" t="str">
        <x:v>t052</x:v>
      </x:c>
      <x:c r="B58" s="11" t="str">
        <x:v>The product description said 'wireless' but I had to buy a separate dongle to use it. Misleading.</x:v>
      </x:c>
      <x:c r="C58" s="11" t="str">
        <x:v>product_issue</x:v>
      </x:c>
      <x:c r="D58" s="12" t="str">
        <x:v>product_issue</x:v>
      </x:c>
      <x:c r="E58" s="11" t="str">
        <x:v>product_issue</x:v>
      </x:c>
      <x:c r="F58" s="11" t="str">
        <x:f>IF(D58="","PENDING",IF(E58=D58,"PASS","FAIL"))</x:f>
        <x:v>PASS</x:v>
      </x:c>
      <x:c r="G58" s="11" t="str">
        <x:v>product_issue</x:v>
      </x:c>
      <x:c r="H58" s="11" t="str">
        <x:f>IF(D58="","PENDING",IF(G58=D58,"PASS","FAIL"))</x:f>
        <x:v>PASS</x:v>
      </x:c>
      <x:c r="I58" s="11" t="str">
        <x:f>IF(OR(F58="PENDING",H58="PENDING"),"PENDING",IF(F58="FAIL",IF(H58="PASS","WIN","STILL_FAIL"),IF(H58="FAIL","REGRESSION","STILL_PASS")))</x:f>
        <x:v>STILL_PASS</x:v>
      </x:c>
      <x:c r="J58" s="11" t="str"/>
      <x:c r="K58" s="11" t="str"/>
      <x:c r="L58" s="12" t="str"/>
      <x:c r="M58" s="12" t="str"/>
      <x:c r="N58" s="11" t="n">
        <x:f>IF(F58="PENDING","",IF(F58="PASS",1,0))</x:f>
        <x:v>1</x:v>
      </x:c>
      <x:c r="O58" s="11" t="n">
        <x:f>IF(H58="PENDING","",IF(H58="PASS",1,0))</x:f>
        <x:v>1</x:v>
      </x:c>
    </x:row>
    <x:row r="59" ht="55" customHeight="1">
      <x:c r="A59" s="11" t="str">
        <x:v>t053</x:v>
      </x:c>
      <x:c r="B59" s="11" t="str">
        <x:v>I can't believe the product is advertised as 'wireless' and yet I needed to purchase an additional dongle to make it work. This feels very misleading.</x:v>
      </x:c>
      <x:c r="C59" s="11" t="str">
        <x:v>product_issue</x:v>
      </x:c>
      <x:c r="D59" s="12" t="str">
        <x:v>product_issue</x:v>
      </x:c>
      <x:c r="E59" s="11" t="str">
        <x:v>product_issue</x:v>
      </x:c>
      <x:c r="F59" s="11" t="str">
        <x:f>IF(D59="","PENDING",IF(E59=D59,"PASS","FAIL"))</x:f>
        <x:v>PASS</x:v>
      </x:c>
      <x:c r="G59" s="11" t="str">
        <x:v>product_issue</x:v>
      </x:c>
      <x:c r="H59" s="11" t="str">
        <x:f>IF(D59="","PENDING",IF(G59=D59,"PASS","FAIL"))</x:f>
        <x:v>PASS</x:v>
      </x:c>
      <x:c r="I59" s="11" t="str">
        <x:f>IF(OR(F59="PENDING",H59="PENDING"),"PENDING",IF(F59="FAIL",IF(H59="PASS","WIN","STILL_FAIL"),IF(H59="FAIL","REGRESSION","STILL_PASS")))</x:f>
        <x:v>STILL_PASS</x:v>
      </x:c>
      <x:c r="J59" s="11" t="str"/>
      <x:c r="K59" s="11" t="str"/>
      <x:c r="L59" s="12" t="str"/>
      <x:c r="M59" s="12" t="str"/>
      <x:c r="N59" s="11" t="n">
        <x:f>IF(F59="PENDING","",IF(F59="PASS",1,0))</x:f>
        <x:v>1</x:v>
      </x:c>
      <x:c r="O59" s="11" t="n">
        <x:f>IF(H59="PENDING","",IF(H59="PASS",1,0))</x:f>
        <x:v>1</x:v>
      </x:c>
    </x:row>
    <x:row r="60" ht="55" customHeight="1">
      <x:c r="A60" s="11" t="str">
        <x:v>t054</x:v>
      </x:c>
      <x:c r="B60" s="11" t="str">
        <x:v>I thought I was getting a wireless device, but I had to go and buy a dongle separately just to use it. This is quite deceiving.</x:v>
      </x:c>
      <x:c r="C60" s="11" t="str">
        <x:v>product_issue</x:v>
      </x:c>
      <x:c r="D60" s="12" t="str">
        <x:v>product_issue</x:v>
      </x:c>
      <x:c r="E60" s="11" t="str">
        <x:v>product_issue</x:v>
      </x:c>
      <x:c r="F60" s="11" t="str">
        <x:f>IF(D60="","PENDING",IF(E60=D60,"PASS","FAIL"))</x:f>
        <x:v>PASS</x:v>
      </x:c>
      <x:c r="G60" s="11" t="str">
        <x:v>product_issue</x:v>
      </x:c>
      <x:c r="H60" s="11" t="str">
        <x:f>IF(D60="","PENDING",IF(G60=D60,"PASS","FAIL"))</x:f>
        <x:v>PASS</x:v>
      </x:c>
      <x:c r="I60" s="11" t="str">
        <x:f>IF(OR(F60="PENDING",H60="PENDING"),"PENDING",IF(F60="FAIL",IF(H60="PASS","WIN","STILL_FAIL"),IF(H60="FAIL","REGRESSION","STILL_PASS")))</x:f>
        <x:v>STILL_PASS</x:v>
      </x:c>
      <x:c r="J60" s="11" t="str"/>
      <x:c r="K60" s="11" t="str"/>
      <x:c r="L60" s="12" t="str"/>
      <x:c r="M60" s="12" t="str"/>
      <x:c r="N60" s="11" t="n">
        <x:f>IF(F60="PENDING","",IF(F60="PASS",1,0))</x:f>
        <x:v>1</x:v>
      </x:c>
      <x:c r="O60" s="11" t="n">
        <x:f>IF(H60="PENDING","",IF(H60="PASS",1,0))</x:f>
        <x:v>1</x:v>
      </x:c>
    </x:row>
    <x:row r="61" ht="55" customHeight="1">
      <x:c r="A61" s="11" t="str">
        <x:v>t055</x:v>
      </x:c>
      <x:c r="B61" s="11" t="str">
        <x:v>It's frustrating to see that the item I ordered, which was labeled as 'wireless', actually requires a separate dongle to function. That's definitely not what I expected.</x:v>
      </x:c>
      <x:c r="C61" s="11" t="str">
        <x:v>product_issue</x:v>
      </x:c>
      <x:c r="D61" s="12" t="str">
        <x:v>product_issue</x:v>
      </x:c>
      <x:c r="E61" s="11" t="str">
        <x:v>product_issue</x:v>
      </x:c>
      <x:c r="F61" s="11" t="str">
        <x:f>IF(D61="","PENDING",IF(E61=D61,"PASS","FAIL"))</x:f>
        <x:v>PASS</x:v>
      </x:c>
      <x:c r="G61" s="11" t="str">
        <x:v>product_issue</x:v>
      </x:c>
      <x:c r="H61" s="11" t="str">
        <x:f>IF(D61="","PENDING",IF(G61=D61,"PASS","FAIL"))</x:f>
        <x:v>PASS</x:v>
      </x:c>
      <x:c r="I61" s="11" t="str">
        <x:f>IF(OR(F61="PENDING",H61="PENDING"),"PENDING",IF(F61="FAIL",IF(H61="PASS","WIN","STILL_FAIL"),IF(H61="FAIL","REGRESSION","STILL_PASS")))</x:f>
        <x:v>STILL_PASS</x:v>
      </x:c>
      <x:c r="J61" s="11" t="str"/>
      <x:c r="K61" s="11" t="str"/>
      <x:c r="L61" s="12" t="str"/>
      <x:c r="M61" s="12" t="str"/>
      <x:c r="N61" s="11" t="n">
        <x:f>IF(F61="PENDING","",IF(F61="PASS",1,0))</x:f>
        <x:v>1</x:v>
      </x:c>
      <x:c r="O61" s="11" t="n">
        <x:f>IF(H61="PENDING","",IF(H61="PASS",1,0))</x:f>
        <x:v>1</x:v>
      </x:c>
    </x:row>
    <x:row r="62" ht="55" customHeight="1">
      <x:c r="A62" s="11" t="str">
        <x:v>t056</x:v>
      </x:c>
      <x:c r="B62" s="11" t="str">
        <x:v>Item itself works fine but the box was crushed and the instruction manual is missing.</x:v>
      </x:c>
      <x:c r="C62" s="11" t="str">
        <x:v>product_issue</x:v>
      </x:c>
      <x:c r="D62" s="12" t="str">
        <x:v>product_issue</x:v>
      </x:c>
      <x:c r="E62" s="11" t="str">
        <x:v>product_issue</x:v>
      </x:c>
      <x:c r="F62" s="11" t="str">
        <x:f>IF(D62="","PENDING",IF(E62=D62,"PASS","FAIL"))</x:f>
        <x:v>PASS</x:v>
      </x:c>
      <x:c r="G62" s="11" t="str">
        <x:v>product_issue</x:v>
      </x:c>
      <x:c r="H62" s="11" t="str">
        <x:f>IF(D62="","PENDING",IF(G62=D62,"PASS","FAIL"))</x:f>
        <x:v>PASS</x:v>
      </x:c>
      <x:c r="I62" s="11" t="str">
        <x:f>IF(OR(F62="PENDING",H62="PENDING"),"PENDING",IF(F62="FAIL",IF(H62="PASS","WIN","STILL_FAIL"),IF(H62="FAIL","REGRESSION","STILL_PASS")))</x:f>
        <x:v>STILL_PASS</x:v>
      </x:c>
      <x:c r="J62" s="11" t="str"/>
      <x:c r="K62" s="11" t="str"/>
      <x:c r="L62" s="12" t="str"/>
      <x:c r="M62" s="12" t="str"/>
      <x:c r="N62" s="11" t="n">
        <x:f>IF(F62="PENDING","",IF(F62="PASS",1,0))</x:f>
        <x:v>1</x:v>
      </x:c>
      <x:c r="O62" s="11" t="n">
        <x:f>IF(H62="PENDING","",IF(H62="PASS",1,0))</x:f>
        <x:v>1</x:v>
      </x:c>
    </x:row>
    <x:row r="63" ht="55" customHeight="1">
      <x:c r="A63" s="11" t="str">
        <x:v>t057</x:v>
      </x:c>
      <x:c r="B63" s="11" t="str">
        <x:v>The item is functional, but the package arrived damaged, and there's no instruction manual included.</x:v>
      </x:c>
      <x:c r="C63" s="11" t="str">
        <x:v>product_issue</x:v>
      </x:c>
      <x:c r="D63" s="12" t="str">
        <x:v>product_issue</x:v>
      </x:c>
      <x:c r="E63" s="11" t="str">
        <x:v>product_issue</x:v>
      </x:c>
      <x:c r="F63" s="11" t="str">
        <x:f>IF(D63="","PENDING",IF(E63=D63,"PASS","FAIL"))</x:f>
        <x:v>PASS</x:v>
      </x:c>
      <x:c r="G63" s="11" t="str">
        <x:v>product_issue</x:v>
      </x:c>
      <x:c r="H63" s="11" t="str">
        <x:f>IF(D63="","PENDING",IF(G63=D63,"PASS","FAIL"))</x:f>
        <x:v>PASS</x:v>
      </x:c>
      <x:c r="I63" s="11" t="str">
        <x:f>IF(OR(F63="PENDING",H63="PENDING"),"PENDING",IF(F63="FAIL",IF(H63="PASS","WIN","STILL_FAIL"),IF(H63="FAIL","REGRESSION","STILL_PASS")))</x:f>
        <x:v>STILL_PASS</x:v>
      </x:c>
      <x:c r="J63" s="11" t="str"/>
      <x:c r="K63" s="11" t="str"/>
      <x:c r="L63" s="12" t="str"/>
      <x:c r="M63" s="12" t="str"/>
      <x:c r="N63" s="11" t="n">
        <x:f>IF(F63="PENDING","",IF(F63="PASS",1,0))</x:f>
        <x:v>1</x:v>
      </x:c>
      <x:c r="O63" s="11" t="n">
        <x:f>IF(H63="PENDING","",IF(H63="PASS",1,0))</x:f>
        <x:v>1</x:v>
      </x:c>
    </x:row>
    <x:row r="64" ht="55" customHeight="1">
      <x:c r="A64" s="11" t="str">
        <x:v>t058</x:v>
      </x:c>
      <x:c r="B64" s="11" t="str">
        <x:v>I received my order, and while the product itself is okay, the box is all smashed up, and I can't find the instructions anywhere.</x:v>
      </x:c>
      <x:c r="C64" s="11" t="str">
        <x:v>product_issue</x:v>
      </x:c>
      <x:c r="D64" s="12" t="str">
        <x:v>product_issue</x:v>
      </x:c>
      <x:c r="E64" s="11" t="str">
        <x:v>product_issue</x:v>
      </x:c>
      <x:c r="F64" s="11" t="str">
        <x:f>IF(D64="","PENDING",IF(E64=D64,"PASS","FAIL"))</x:f>
        <x:v>PASS</x:v>
      </x:c>
      <x:c r="G64" s="11" t="str">
        <x:v>product_issue</x:v>
      </x:c>
      <x:c r="H64" s="11" t="str">
        <x:f>IF(D64="","PENDING",IF(G64=D64,"PASS","FAIL"))</x:f>
        <x:v>PASS</x:v>
      </x:c>
      <x:c r="I64" s="11" t="str">
        <x:f>IF(OR(F64="PENDING",H64="PENDING"),"PENDING",IF(F64="FAIL",IF(H64="PASS","WIN","STILL_FAIL"),IF(H64="FAIL","REGRESSION","STILL_PASS")))</x:f>
        <x:v>STILL_PASS</x:v>
      </x:c>
      <x:c r="J64" s="11" t="str"/>
      <x:c r="K64" s="11" t="str"/>
      <x:c r="L64" s="12" t="str"/>
      <x:c r="M64" s="12" t="str"/>
      <x:c r="N64" s="11" t="n">
        <x:f>IF(F64="PENDING","",IF(F64="PASS",1,0))</x:f>
        <x:v>1</x:v>
      </x:c>
      <x:c r="O64" s="11" t="n">
        <x:f>IF(H64="PENDING","",IF(H64="PASS",1,0))</x:f>
        <x:v>1</x:v>
      </x:c>
    </x:row>
    <x:row r="65" ht="55" customHeight="1">
      <x:c r="A65" s="11" t="str">
        <x:v>t059</x:v>
      </x:c>
      <x:c r="B65" s="11" t="str">
        <x:v>The item works great, but I'm really disappointed that the box is completely wrecked and I didn’t get the manual.</x:v>
      </x:c>
      <x:c r="C65" s="11" t="str">
        <x:v>product_issue</x:v>
      </x:c>
      <x:c r="D65" s="12" t="str">
        <x:v>product_issue</x:v>
      </x:c>
      <x:c r="E65" s="11" t="str">
        <x:v>product_issue</x:v>
      </x:c>
      <x:c r="F65" s="11" t="str">
        <x:f>IF(D65="","PENDING",IF(E65=D65,"PASS","FAIL"))</x:f>
        <x:v>PASS</x:v>
      </x:c>
      <x:c r="G65" s="11" t="str">
        <x:v>product_issue</x:v>
      </x:c>
      <x:c r="H65" s="11" t="str">
        <x:f>IF(D65="","PENDING",IF(G65=D65,"PASS","FAIL"))</x:f>
        <x:v>PASS</x:v>
      </x:c>
      <x:c r="I65" s="11" t="str">
        <x:f>IF(OR(F65="PENDING",H65="PENDING"),"PENDING",IF(F65="FAIL",IF(H65="PASS","WIN","STILL_FAIL"),IF(H65="FAIL","REGRESSION","STILL_PASS")))</x:f>
        <x:v>STILL_PASS</x:v>
      </x:c>
      <x:c r="J65" s="11" t="str"/>
      <x:c r="K65" s="11" t="str"/>
      <x:c r="L65" s="12" t="str"/>
      <x:c r="M65" s="12" t="str"/>
      <x:c r="N65" s="11" t="n">
        <x:f>IF(F65="PENDING","",IF(F65="PASS",1,0))</x:f>
        <x:v>1</x:v>
      </x:c>
      <x:c r="O65" s="11" t="n">
        <x:f>IF(H65="PENDING","",IF(H65="PASS",1,0))</x:f>
        <x:v>1</x:v>
      </x:c>
    </x:row>
    <x:row r="66" ht="55" customHeight="1">
      <x:c r="A66" s="11" t="str">
        <x:v>t060</x:v>
      </x:c>
      <x:c r="B66" s="11" t="str">
        <x:v>I can't log into my account — it keeps saying my password is wrong even after I reset it.</x:v>
      </x:c>
      <x:c r="C66" s="11" t="str">
        <x:v>account_help</x:v>
      </x:c>
      <x:c r="D66" s="12" t="str">
        <x:v>account_help</x:v>
      </x:c>
      <x:c r="E66" s="11" t="str">
        <x:v>account_help</x:v>
      </x:c>
      <x:c r="F66" s="11" t="str">
        <x:f>IF(D66="","PENDING",IF(E66=D66,"PASS","FAIL"))</x:f>
        <x:v>PASS</x:v>
      </x:c>
      <x:c r="G66" s="11" t="str">
        <x:v>account_help</x:v>
      </x:c>
      <x:c r="H66" s="11" t="str">
        <x:f>IF(D66="","PENDING",IF(G66=D66,"PASS","FAIL"))</x:f>
        <x:v>PASS</x:v>
      </x:c>
      <x:c r="I66" s="11" t="str">
        <x:f>IF(OR(F66="PENDING",H66="PENDING"),"PENDING",IF(F66="FAIL",IF(H66="PASS","WIN","STILL_FAIL"),IF(H66="FAIL","REGRESSION","STILL_PASS")))</x:f>
        <x:v>STILL_PASS</x:v>
      </x:c>
      <x:c r="J66" s="11" t="str"/>
      <x:c r="K66" s="11" t="str"/>
      <x:c r="L66" s="12" t="str"/>
      <x:c r="M66" s="12" t="str"/>
      <x:c r="N66" s="11" t="n">
        <x:f>IF(F66="PENDING","",IF(F66="PASS",1,0))</x:f>
        <x:v>1</x:v>
      </x:c>
      <x:c r="O66" s="11" t="n">
        <x:f>IF(H66="PENDING","",IF(H66="PASS",1,0))</x:f>
        <x:v>1</x:v>
      </x:c>
    </x:row>
    <x:row r="67" ht="55" customHeight="1">
      <x:c r="A67" s="11" t="str">
        <x:v>t061</x:v>
      </x:c>
      <x:c r="B67" s="11" t="str">
        <x:v>I've been trying to log into my account, but every time I do, it tells me my password is incorrect, even though I just reset it! This is so frustrating!</x:v>
      </x:c>
      <x:c r="C67" s="11" t="str">
        <x:v>account_help</x:v>
      </x:c>
      <x:c r="D67" s="12" t="str">
        <x:v>account_help</x:v>
      </x:c>
      <x:c r="E67" s="11" t="str">
        <x:v>account_help</x:v>
      </x:c>
      <x:c r="F67" s="11" t="str">
        <x:f>IF(D67="","PENDING",IF(E67=D67,"PASS","FAIL"))</x:f>
        <x:v>PASS</x:v>
      </x:c>
      <x:c r="G67" s="11" t="str">
        <x:v>account_help</x:v>
      </x:c>
      <x:c r="H67" s="11" t="str">
        <x:f>IF(D67="","PENDING",IF(G67=D67,"PASS","FAIL"))</x:f>
        <x:v>PASS</x:v>
      </x:c>
      <x:c r="I67" s="11" t="str">
        <x:f>IF(OR(F67="PENDING",H67="PENDING"),"PENDING",IF(F67="FAIL",IF(H67="PASS","WIN","STILL_FAIL"),IF(H67="FAIL","REGRESSION","STILL_PASS")))</x:f>
        <x:v>STILL_PASS</x:v>
      </x:c>
      <x:c r="J67" s="11" t="str"/>
      <x:c r="K67" s="11" t="str"/>
      <x:c r="L67" s="12" t="str"/>
      <x:c r="M67" s="12" t="str"/>
      <x:c r="N67" s="11" t="n">
        <x:f>IF(F67="PENDING","",IF(F67="PASS",1,0))</x:f>
        <x:v>1</x:v>
      </x:c>
      <x:c r="O67" s="11" t="n">
        <x:f>IF(H67="PENDING","",IF(H67="PASS",1,0))</x:f>
        <x:v>1</x:v>
      </x:c>
    </x:row>
    <x:row r="68" ht="55" customHeight="1">
      <x:c r="A68" s="11" t="str">
        <x:v>t062</x:v>
      </x:c>
      <x:c r="B68" s="11" t="str">
        <x:v>Hello, I'm having trouble accessing my account. It keeps rejecting my password, despite the fact that I recently reset it. Could you please assist?</x:v>
      </x:c>
      <x:c r="C68" s="11" t="str">
        <x:v>account_help</x:v>
      </x:c>
      <x:c r="D68" s="12" t="str">
        <x:v>account_help</x:v>
      </x:c>
      <x:c r="E68" s="11" t="str">
        <x:v>account_help</x:v>
      </x:c>
      <x:c r="F68" s="11" t="str">
        <x:f>IF(D68="","PENDING",IF(E68=D68,"PASS","FAIL"))</x:f>
        <x:v>PASS</x:v>
      </x:c>
      <x:c r="G68" s="11" t="str">
        <x:v>account_help</x:v>
      </x:c>
      <x:c r="H68" s="11" t="str">
        <x:f>IF(D68="","PENDING",IF(G68=D68,"PASS","FAIL"))</x:f>
        <x:v>PASS</x:v>
      </x:c>
      <x:c r="I68" s="11" t="str">
        <x:f>IF(OR(F68="PENDING",H68="PENDING"),"PENDING",IF(F68="FAIL",IF(H68="PASS","WIN","STILL_FAIL"),IF(H68="FAIL","REGRESSION","STILL_PASS")))</x:f>
        <x:v>STILL_PASS</x:v>
      </x:c>
      <x:c r="J68" s="11" t="str"/>
      <x:c r="K68" s="11" t="str"/>
      <x:c r="L68" s="12" t="str"/>
      <x:c r="M68" s="12" t="str"/>
      <x:c r="N68" s="11" t="n">
        <x:f>IF(F68="PENDING","",IF(F68="PASS",1,0))</x:f>
        <x:v>1</x:v>
      </x:c>
      <x:c r="O68" s="11" t="n">
        <x:f>IF(H68="PENDING","",IF(H68="PASS",1,0))</x:f>
        <x:v>1</x:v>
      </x:c>
    </x:row>
    <x:row r="69" ht="55" customHeight="1">
      <x:c r="A69" s="11" t="str">
        <x:v>t063</x:v>
      </x:c>
      <x:c r="B69" s="11" t="str">
        <x:v>Ugh, I can't seem to get into my account — it keeps claiming my password is invalid, even though I just changed it. What’s going on?</x:v>
      </x:c>
      <x:c r="C69" s="11" t="str">
        <x:v>account_help</x:v>
      </x:c>
      <x:c r="D69" s="12" t="str">
        <x:v>account_help</x:v>
      </x:c>
      <x:c r="E69" s="11" t="str">
        <x:v>account_help</x:v>
      </x:c>
      <x:c r="F69" s="11" t="str">
        <x:f>IF(D69="","PENDING",IF(E69=D69,"PASS","FAIL"))</x:f>
        <x:v>PASS</x:v>
      </x:c>
      <x:c r="G69" s="11" t="str">
        <x:v>account_help</x:v>
      </x:c>
      <x:c r="H69" s="11" t="str">
        <x:f>IF(D69="","PENDING",IF(G69=D69,"PASS","FAIL"))</x:f>
        <x:v>PASS</x:v>
      </x:c>
      <x:c r="I69" s="11" t="str">
        <x:f>IF(OR(F69="PENDING",H69="PENDING"),"PENDING",IF(F69="FAIL",IF(H69="PASS","WIN","STILL_FAIL"),IF(H69="FAIL","REGRESSION","STILL_PASS")))</x:f>
        <x:v>STILL_PASS</x:v>
      </x:c>
      <x:c r="J69" s="11" t="str"/>
      <x:c r="K69" s="11" t="str"/>
      <x:c r="L69" s="12" t="str"/>
      <x:c r="M69" s="12" t="str"/>
      <x:c r="N69" s="11" t="n">
        <x:f>IF(F69="PENDING","",IF(F69="PASS",1,0))</x:f>
        <x:v>1</x:v>
      </x:c>
      <x:c r="O69" s="11" t="n">
        <x:f>IF(H69="PENDING","",IF(H69="PASS",1,0))</x:f>
        <x:v>1</x:v>
      </x:c>
    </x:row>
    <x:row r="70" ht="55" customHeight="1">
      <x:c r="A70" s="11" t="str">
        <x:v>t064</x:v>
      </x:c>
      <x:c r="B70" s="11" t="str">
        <x:v>How do I update the credit card on file? I don't see the option anywhere in settings.</x:v>
      </x:c>
      <x:c r="C70" s="11" t="str">
        <x:v>account_help</x:v>
      </x:c>
      <x:c r="D70" s="12" t="str">
        <x:v>account_help</x:v>
      </x:c>
      <x:c r="E70" s="11" t="str">
        <x:v>account_help</x:v>
      </x:c>
      <x:c r="F70" s="11" t="str">
        <x:f>IF(D70="","PENDING",IF(E70=D70,"PASS","FAIL"))</x:f>
        <x:v>PASS</x:v>
      </x:c>
      <x:c r="G70" s="11" t="str">
        <x:v>account_help</x:v>
      </x:c>
      <x:c r="H70" s="11" t="str">
        <x:f>IF(D70="","PENDING",IF(G70=D70,"PASS","FAIL"))</x:f>
        <x:v>PASS</x:v>
      </x:c>
      <x:c r="I70" s="11" t="str">
        <x:f>IF(OR(F70="PENDING",H70="PENDING"),"PENDING",IF(F70="FAIL",IF(H70="PASS","WIN","STILL_FAIL"),IF(H70="FAIL","REGRESSION","STILL_PASS")))</x:f>
        <x:v>STILL_PASS</x:v>
      </x:c>
      <x:c r="J70" s="11" t="str"/>
      <x:c r="K70" s="11" t="str"/>
      <x:c r="L70" s="12" t="str"/>
      <x:c r="M70" s="12" t="str"/>
      <x:c r="N70" s="11" t="n">
        <x:f>IF(F70="PENDING","",IF(F70="PASS",1,0))</x:f>
        <x:v>1</x:v>
      </x:c>
      <x:c r="O70" s="11" t="n">
        <x:f>IF(H70="PENDING","",IF(H70="PASS",1,0))</x:f>
        <x:v>1</x:v>
      </x:c>
    </x:row>
    <x:row r="71" ht="55" customHeight="1">
      <x:c r="A71" s="11" t="str">
        <x:v>t065</x:v>
      </x:c>
      <x:c r="B71" s="11" t="str">
        <x:v>I've been trying to figure out how to change my credit card info, but honestly, I can't find any option for it in the settings. Can someone help?</x:v>
      </x:c>
      <x:c r="C71" s="11" t="str">
        <x:v>account_help</x:v>
      </x:c>
      <x:c r="D71" s="12" t="str">
        <x:v>account_help</x:v>
      </x:c>
      <x:c r="E71" s="11" t="str">
        <x:v>account_help</x:v>
      </x:c>
      <x:c r="F71" s="11" t="str">
        <x:f>IF(D71="","PENDING",IF(E71=D71,"PASS","FAIL"))</x:f>
        <x:v>PASS</x:v>
      </x:c>
      <x:c r="G71" s="11" t="str">
        <x:v>account_help</x:v>
      </x:c>
      <x:c r="H71" s="11" t="str">
        <x:f>IF(D71="","PENDING",IF(G71=D71,"PASS","FAIL"))</x:f>
        <x:v>PASS</x:v>
      </x:c>
      <x:c r="I71" s="11" t="str">
        <x:f>IF(OR(F71="PENDING",H71="PENDING"),"PENDING",IF(F71="FAIL",IF(H71="PASS","WIN","STILL_FAIL"),IF(H71="FAIL","REGRESSION","STILL_PASS")))</x:f>
        <x:v>STILL_PASS</x:v>
      </x:c>
      <x:c r="J71" s="11" t="str"/>
      <x:c r="K71" s="11" t="str"/>
      <x:c r="L71" s="12" t="str"/>
      <x:c r="M71" s="12" t="str"/>
      <x:c r="N71" s="11" t="n">
        <x:f>IF(F71="PENDING","",IF(F71="PASS",1,0))</x:f>
        <x:v>1</x:v>
      </x:c>
      <x:c r="O71" s="11" t="n">
        <x:f>IF(H71="PENDING","",IF(H71="PASS",1,0))</x:f>
        <x:v>1</x:v>
      </x:c>
    </x:row>
    <x:row r="72" ht="55" customHeight="1">
      <x:c r="A72" s="11" t="str">
        <x:v>t066</x:v>
      </x:c>
      <x:c r="B72" s="11" t="str">
        <x:v>Excuse me, but I can't seem to locate where to update my credit card on your site. It's not showing up in the settings. Would you enlighten me?</x:v>
      </x:c>
      <x:c r="C72" s="11" t="str">
        <x:v>account_help</x:v>
      </x:c>
      <x:c r="D72" s="12" t="str">
        <x:v>account_help</x:v>
      </x:c>
      <x:c r="E72" s="11" t="str">
        <x:v>account_help</x:v>
      </x:c>
      <x:c r="F72" s="11" t="str">
        <x:f>IF(D72="","PENDING",IF(E72=D72,"PASS","FAIL"))</x:f>
        <x:v>PASS</x:v>
      </x:c>
      <x:c r="G72" s="11" t="str">
        <x:v>account_help</x:v>
      </x:c>
      <x:c r="H72" s="11" t="str">
        <x:f>IF(D72="","PENDING",IF(G72=D72,"PASS","FAIL"))</x:f>
        <x:v>PASS</x:v>
      </x:c>
      <x:c r="I72" s="11" t="str">
        <x:f>IF(OR(F72="PENDING",H72="PENDING"),"PENDING",IF(F72="FAIL",IF(H72="PASS","WIN","STILL_FAIL"),IF(H72="FAIL","REGRESSION","STILL_PASS")))</x:f>
        <x:v>STILL_PASS</x:v>
      </x:c>
      <x:c r="J72" s="11" t="str"/>
      <x:c r="K72" s="11" t="str"/>
      <x:c r="L72" s="12" t="str"/>
      <x:c r="M72" s="12" t="str"/>
      <x:c r="N72" s="11" t="n">
        <x:f>IF(F72="PENDING","",IF(F72="PASS",1,0))</x:f>
        <x:v>1</x:v>
      </x:c>
      <x:c r="O72" s="11" t="n">
        <x:f>IF(H72="PENDING","",IF(H72="PASS",1,0))</x:f>
        <x:v>1</x:v>
      </x:c>
    </x:row>
    <x:row r="73" ht="55" customHeight="1">
      <x:c r="A73" s="11" t="str">
        <x:v>t067</x:v>
      </x:c>
      <x:c r="B73" s="11" t="str">
        <x:v>I need to switch the credit card linked to my account, but there's no option in the settings menu. It's quite frustrating! Can someone point me in the right direction?</x:v>
      </x:c>
      <x:c r="C73" s="11" t="str">
        <x:v>account_help</x:v>
      </x:c>
      <x:c r="D73" s="12" t="str">
        <x:v>account_help</x:v>
      </x:c>
      <x:c r="E73" s="11" t="str">
        <x:v>account_help</x:v>
      </x:c>
      <x:c r="F73" s="11" t="str">
        <x:f>IF(D73="","PENDING",IF(E73=D73,"PASS","FAIL"))</x:f>
        <x:v>PASS</x:v>
      </x:c>
      <x:c r="G73" s="11" t="str">
        <x:v>account_help</x:v>
      </x:c>
      <x:c r="H73" s="11" t="str">
        <x:f>IF(D73="","PENDING",IF(G73=D73,"PASS","FAIL"))</x:f>
        <x:v>PASS</x:v>
      </x:c>
      <x:c r="I73" s="11" t="str">
        <x:f>IF(OR(F73="PENDING",H73="PENDING"),"PENDING",IF(F73="FAIL",IF(H73="PASS","WIN","STILL_FAIL"),IF(H73="FAIL","REGRESSION","STILL_PASS")))</x:f>
        <x:v>STILL_PASS</x:v>
      </x:c>
      <x:c r="J73" s="11" t="str"/>
      <x:c r="K73" s="11" t="str"/>
      <x:c r="L73" s="12" t="str"/>
      <x:c r="M73" s="12" t="str"/>
      <x:c r="N73" s="11" t="n">
        <x:f>IF(F73="PENDING","",IF(F73="PASS",1,0))</x:f>
        <x:v>1</x:v>
      </x:c>
      <x:c r="O73" s="11" t="n">
        <x:f>IF(H73="PENDING","",IF(H73="PASS",1,0))</x:f>
        <x:v>1</x:v>
      </x:c>
    </x:row>
    <x:row r="74" ht="55" customHeight="1">
      <x:c r="A74" s="11" t="str">
        <x:v>t068</x:v>
      </x:c>
      <x:c r="B74" s="11" t="str">
        <x:v>The website won't let me check out — it keeps logging me out mid-payment.</x:v>
      </x:c>
      <x:c r="C74" s="11" t="str">
        <x:v>account_help</x:v>
      </x:c>
      <x:c r="D74" s="12" t="str">
        <x:v>account_help</x:v>
      </x:c>
      <x:c r="E74" s="11" t="str">
        <x:v>account_help</x:v>
      </x:c>
      <x:c r="F74" s="11" t="str">
        <x:f>IF(D74="","PENDING",IF(E74=D74,"PASS","FAIL"))</x:f>
        <x:v>PASS</x:v>
      </x:c>
      <x:c r="G74" s="11" t="str">
        <x:v>account_help</x:v>
      </x:c>
      <x:c r="H74" s="11" t="str">
        <x:f>IF(D74="","PENDING",IF(G74=D74,"PASS","FAIL"))</x:f>
        <x:v>PASS</x:v>
      </x:c>
      <x:c r="I74" s="11" t="str">
        <x:f>IF(OR(F74="PENDING",H74="PENDING"),"PENDING",IF(F74="FAIL",IF(H74="PASS","WIN","STILL_FAIL"),IF(H74="FAIL","REGRESSION","STILL_PASS")))</x:f>
        <x:v>STILL_PASS</x:v>
      </x:c>
      <x:c r="J74" s="11" t="str"/>
      <x:c r="K74" s="11" t="str"/>
      <x:c r="L74" s="12" t="str"/>
      <x:c r="M74" s="12" t="str"/>
      <x:c r="N74" s="11" t="n">
        <x:f>IF(F74="PENDING","",IF(F74="PASS",1,0))</x:f>
        <x:v>1</x:v>
      </x:c>
      <x:c r="O74" s="11" t="n">
        <x:f>IF(H74="PENDING","",IF(H74="PASS",1,0))</x:f>
        <x:v>1</x:v>
      </x:c>
    </x:row>
    <x:row r="75" ht="55" customHeight="1">
      <x:c r="A75" s="11" t="str">
        <x:v>t069</x:v>
      </x:c>
      <x:c r="B75" s="11" t="str">
        <x:v>I'm really frustrated — every time I try to complete my order for the new gaming headset, the site logs me out right before the payment step.</x:v>
      </x:c>
      <x:c r="C75" s="11" t="str">
        <x:v>account_help</x:v>
      </x:c>
      <x:c r="D75" s="12" t="str">
        <x:v>account_help</x:v>
      </x:c>
      <x:c r="E75" s="11" t="str">
        <x:v>account_help</x:v>
      </x:c>
      <x:c r="F75" s="11" t="str">
        <x:f>IF(D75="","PENDING",IF(E75=D75,"PASS","FAIL"))</x:f>
        <x:v>PASS</x:v>
      </x:c>
      <x:c r="G75" s="11" t="str">
        <x:v>account_help</x:v>
      </x:c>
      <x:c r="H75" s="11" t="str">
        <x:f>IF(D75="","PENDING",IF(G75=D75,"PASS","FAIL"))</x:f>
        <x:v>PASS</x:v>
      </x:c>
      <x:c r="I75" s="11" t="str">
        <x:f>IF(OR(F75="PENDING",H75="PENDING"),"PENDING",IF(F75="FAIL",IF(H75="PASS","WIN","STILL_FAIL"),IF(H75="FAIL","REGRESSION","STILL_PASS")))</x:f>
        <x:v>STILL_PASS</x:v>
      </x:c>
      <x:c r="J75" s="11" t="str"/>
      <x:c r="K75" s="11" t="str"/>
      <x:c r="L75" s="12" t="str"/>
      <x:c r="M75" s="12" t="str"/>
      <x:c r="N75" s="11" t="n">
        <x:f>IF(F75="PENDING","",IF(F75="PASS",1,0))</x:f>
        <x:v>1</x:v>
      </x:c>
      <x:c r="O75" s="11" t="n">
        <x:f>IF(H75="PENDING","",IF(H75="PASS",1,0))</x:f>
        <x:v>1</x:v>
      </x:c>
    </x:row>
    <x:row r="76" ht="55" customHeight="1">
      <x:c r="A76" s="11" t="str">
        <x:v>t070</x:v>
      </x:c>
      <x:c r="B76" s="11" t="str">
        <x:v>Could you please help me? I’m trying to buy the yoga mat I have in my cart, but the website keeps signing me out just as I’m about to pay.</x:v>
      </x:c>
      <x:c r="C76" s="11" t="str">
        <x:v>account_help</x:v>
      </x:c>
      <x:c r="D76" s="12" t="str">
        <x:v>account_help</x:v>
      </x:c>
      <x:c r="E76" s="11" t="str">
        <x:v>account_help</x:v>
      </x:c>
      <x:c r="F76" s="11" t="str">
        <x:f>IF(D76="","PENDING",IF(E76=D76,"PASS","FAIL"))</x:f>
        <x:v>PASS</x:v>
      </x:c>
      <x:c r="G76" s="11" t="str">
        <x:v>account_help</x:v>
      </x:c>
      <x:c r="H76" s="11" t="str">
        <x:f>IF(D76="","PENDING",IF(G76=D76,"PASS","FAIL"))</x:f>
        <x:v>PASS</x:v>
      </x:c>
      <x:c r="I76" s="11" t="str">
        <x:f>IF(OR(F76="PENDING",H76="PENDING"),"PENDING",IF(F76="FAIL",IF(H76="PASS","WIN","STILL_FAIL"),IF(H76="FAIL","REGRESSION","STILL_PASS")))</x:f>
        <x:v>STILL_PASS</x:v>
      </x:c>
      <x:c r="J76" s="11" t="str"/>
      <x:c r="K76" s="11" t="str"/>
      <x:c r="L76" s="12" t="str"/>
      <x:c r="M76" s="12" t="str"/>
      <x:c r="N76" s="11" t="n">
        <x:f>IF(F76="PENDING","",IF(F76="PASS",1,0))</x:f>
        <x:v>1</x:v>
      </x:c>
      <x:c r="O76" s="11" t="n">
        <x:f>IF(H76="PENDING","",IF(H76="PASS",1,0))</x:f>
        <x:v>1</x:v>
      </x:c>
    </x:row>
    <x:row r="77" ht="55" customHeight="1">
      <x:c r="A77" s="11" t="str">
        <x:v>t071</x:v>
      </x:c>
      <x:c r="B77" s="11" t="str">
        <x:v>I’m having a really annoying issue with my order #34567 for the Bluetooth speaker. The checkout process keeps logging me out, which is quite inconvenient.</x:v>
      </x:c>
      <x:c r="C77" s="11" t="str">
        <x:v>account_help</x:v>
      </x:c>
      <x:c r="D77" s="12" t="str">
        <x:v>account_help</x:v>
      </x:c>
      <x:c r="E77" s="11" t="str">
        <x:v>account_help</x:v>
      </x:c>
      <x:c r="F77" s="11" t="str">
        <x:f>IF(D77="","PENDING",IF(E77=D77,"PASS","FAIL"))</x:f>
        <x:v>PASS</x:v>
      </x:c>
      <x:c r="G77" s="11" t="str">
        <x:v>account_help</x:v>
      </x:c>
      <x:c r="H77" s="11" t="str">
        <x:f>IF(D77="","PENDING",IF(G77=D77,"PASS","FAIL"))</x:f>
        <x:v>PASS</x:v>
      </x:c>
      <x:c r="I77" s="11" t="str">
        <x:f>IF(OR(F77="PENDING",H77="PENDING"),"PENDING",IF(F77="FAIL",IF(H77="PASS","WIN","STILL_FAIL"),IF(H77="FAIL","REGRESSION","STILL_PASS")))</x:f>
        <x:v>STILL_PASS</x:v>
      </x:c>
      <x:c r="J77" s="11" t="str"/>
      <x:c r="K77" s="11" t="str"/>
      <x:c r="L77" s="12" t="str"/>
      <x:c r="M77" s="12" t="str"/>
      <x:c r="N77" s="11" t="n">
        <x:f>IF(F77="PENDING","",IF(F77="PASS",1,0))</x:f>
        <x:v>1</x:v>
      </x:c>
      <x:c r="O77" s="11" t="n">
        <x:f>IF(H77="PENDING","",IF(H77="PASS",1,0))</x:f>
        <x:v>1</x:v>
      </x:c>
    </x:row>
    <x:row r="78" ht="55" customHeight="1">
      <x:c r="A78" s="11" t="str">
        <x:v>t072</x:v>
      </x:c>
      <x:c r="B78" s="11" t="str">
        <x:v>Please remove my old shipping address. I moved last month and don't want stuff going there.</x:v>
      </x:c>
      <x:c r="C78" s="11" t="str">
        <x:v>account_help</x:v>
      </x:c>
      <x:c r="D78" s="12" t="str">
        <x:v>account_help</x:v>
      </x:c>
      <x:c r="E78" s="11" t="str">
        <x:v>account_help</x:v>
      </x:c>
      <x:c r="F78" s="11" t="str">
        <x:f>IF(D78="","PENDING",IF(E78=D78,"PASS","FAIL"))</x:f>
        <x:v>PASS</x:v>
      </x:c>
      <x:c r="G78" s="11" t="str">
        <x:v>account_help</x:v>
      </x:c>
      <x:c r="H78" s="11" t="str">
        <x:f>IF(D78="","PENDING",IF(G78=D78,"PASS","FAIL"))</x:f>
        <x:v>PASS</x:v>
      </x:c>
      <x:c r="I78" s="11" t="str">
        <x:f>IF(OR(F78="PENDING",H78="PENDING"),"PENDING",IF(F78="FAIL",IF(H78="PASS","WIN","STILL_FAIL"),IF(H78="FAIL","REGRESSION","STILL_PASS")))</x:f>
        <x:v>STILL_PASS</x:v>
      </x:c>
      <x:c r="J78" s="11" t="str"/>
      <x:c r="K78" s="11" t="str"/>
      <x:c r="L78" s="12" t="str"/>
      <x:c r="M78" s="12" t="str"/>
      <x:c r="N78" s="11" t="n">
        <x:f>IF(F78="PENDING","",IF(F78="PASS",1,0))</x:f>
        <x:v>1</x:v>
      </x:c>
      <x:c r="O78" s="11" t="n">
        <x:f>IF(H78="PENDING","",IF(H78="PASS",1,0))</x:f>
        <x:v>1</x:v>
      </x:c>
    </x:row>
    <x:row r="79" ht="55" customHeight="1">
      <x:c r="A79" s="11" t="str">
        <x:v>t073</x:v>
      </x:c>
      <x:c r="B79" s="11" t="str">
        <x:v>Hi, I need help with my shipping details. I changed my address last month and I don't want any deliveries sent to my old place anymore. Please take care of this ASAP! Thanks!</x:v>
      </x:c>
      <x:c r="C79" s="11" t="str">
        <x:v>account_help</x:v>
      </x:c>
      <x:c r="D79" s="12" t="str">
        <x:v>account_help</x:v>
      </x:c>
      <x:c r="E79" s="11" t="str">
        <x:v>account_help</x:v>
      </x:c>
      <x:c r="F79" s="11" t="str">
        <x:f>IF(D79="","PENDING",IF(E79=D79,"PASS","FAIL"))</x:f>
        <x:v>PASS</x:v>
      </x:c>
      <x:c r="G79" s="11" t="str">
        <x:v>account_help</x:v>
      </x:c>
      <x:c r="H79" s="11" t="str">
        <x:f>IF(D79="","PENDING",IF(G79=D79,"PASS","FAIL"))</x:f>
        <x:v>PASS</x:v>
      </x:c>
      <x:c r="I79" s="11" t="str">
        <x:f>IF(OR(F79="PENDING",H79="PENDING"),"PENDING",IF(F79="FAIL",IF(H79="PASS","WIN","STILL_FAIL"),IF(H79="FAIL","REGRESSION","STILL_PASS")))</x:f>
        <x:v>STILL_PASS</x:v>
      </x:c>
      <x:c r="J79" s="11" t="str"/>
      <x:c r="K79" s="11" t="str"/>
      <x:c r="L79" s="12" t="str"/>
      <x:c r="M79" s="12" t="str"/>
      <x:c r="N79" s="11" t="n">
        <x:f>IF(F79="PENDING","",IF(F79="PASS",1,0))</x:f>
        <x:v>1</x:v>
      </x:c>
      <x:c r="O79" s="11" t="n">
        <x:f>IF(H79="PENDING","",IF(H79="PASS",1,0))</x:f>
        <x:v>1</x:v>
      </x:c>
    </x:row>
    <x:row r="80" ht="55" customHeight="1">
      <x:c r="A80" s="11" t="str">
        <x:v>t074</x:v>
      </x:c>
      <x:c r="B80" s="11" t="str">
        <x:v>Could you please update my shipping address? I relocated last month, and I really don't want my items being sent to my previous location. Thanks for your assistance.</x:v>
      </x:c>
      <x:c r="C80" s="11" t="str">
        <x:v>account_help</x:v>
      </x:c>
      <x:c r="D80" s="12" t="str">
        <x:v>account_help</x:v>
      </x:c>
      <x:c r="E80" s="11" t="str">
        <x:v>account_help</x:v>
      </x:c>
      <x:c r="F80" s="11" t="str">
        <x:f>IF(D80="","PENDING",IF(E80=D80,"PASS","FAIL"))</x:f>
        <x:v>PASS</x:v>
      </x:c>
      <x:c r="G80" s="11" t="str">
        <x:v>account_help</x:v>
      </x:c>
      <x:c r="H80" s="11" t="str">
        <x:f>IF(D80="","PENDING",IF(G80=D80,"PASS","FAIL"))</x:f>
        <x:v>PASS</x:v>
      </x:c>
      <x:c r="I80" s="11" t="str">
        <x:f>IF(OR(F80="PENDING",H80="PENDING"),"PENDING",IF(F80="FAIL",IF(H80="PASS","WIN","STILL_FAIL"),IF(H80="FAIL","REGRESSION","STILL_PASS")))</x:f>
        <x:v>STILL_PASS</x:v>
      </x:c>
      <x:c r="J80" s="11" t="str"/>
      <x:c r="K80" s="11" t="str"/>
      <x:c r="L80" s="12" t="str"/>
      <x:c r="M80" s="12" t="str"/>
      <x:c r="N80" s="11" t="n">
        <x:f>IF(F80="PENDING","",IF(F80="PASS",1,0))</x:f>
        <x:v>1</x:v>
      </x:c>
      <x:c r="O80" s="11" t="n">
        <x:f>IF(H80="PENDING","",IF(H80="PASS",1,0))</x:f>
        <x:v>1</x:v>
      </x:c>
    </x:row>
    <x:row r="81" ht="55" customHeight="1">
      <x:c r="A81" s="11" t="str">
        <x:v>t075</x:v>
      </x:c>
      <x:c r="B81" s="11" t="str">
        <x:v>Hey, I just noticed that my old address is still on file, and I moved a month ago. Can you make sure that nothing gets shipped there? That would be great.</x:v>
      </x:c>
      <x:c r="C81" s="11" t="str">
        <x:v>account_help</x:v>
      </x:c>
      <x:c r="D81" s="12" t="str">
        <x:v>account_help</x:v>
      </x:c>
      <x:c r="E81" s="11" t="str">
        <x:v>account_help</x:v>
      </x:c>
      <x:c r="F81" s="11" t="str">
        <x:f>IF(D81="","PENDING",IF(E81=D81,"PASS","FAIL"))</x:f>
        <x:v>PASS</x:v>
      </x:c>
      <x:c r="G81" s="11" t="str">
        <x:v>account_help</x:v>
      </x:c>
      <x:c r="H81" s="11" t="str">
        <x:f>IF(D81="","PENDING",IF(G81=D81,"PASS","FAIL"))</x:f>
        <x:v>PASS</x:v>
      </x:c>
      <x:c r="I81" s="11" t="str">
        <x:f>IF(OR(F81="PENDING",H81="PENDING"),"PENDING",IF(F81="FAIL",IF(H81="PASS","WIN","STILL_FAIL"),IF(H81="FAIL","REGRESSION","STILL_PASS")))</x:f>
        <x:v>STILL_PASS</x:v>
      </x:c>
      <x:c r="J81" s="11" t="str"/>
      <x:c r="K81" s="11" t="str"/>
      <x:c r="L81" s="12" t="str"/>
      <x:c r="M81" s="12" t="str"/>
      <x:c r="N81" s="11" t="n">
        <x:f>IF(F81="PENDING","",IF(F81="PASS",1,0))</x:f>
        <x:v>1</x:v>
      </x:c>
      <x:c r="O81" s="11" t="n">
        <x:f>IF(H81="PENDING","",IF(H81="PASS",1,0))</x:f>
        <x:v>1</x:v>
      </x:c>
    </x:row>
    <x:row r="82" ht="55" customHeight="1">
      <x:c r="A82" s="11" t="str">
        <x:v>t076</x:v>
      </x:c>
      <x:c r="B82" s="11" t="str">
        <x:v>I keep getting 2FA codes I didn't request. Is someone trying to access my account?</x:v>
      </x:c>
      <x:c r="C82" s="11" t="str">
        <x:v>account_help</x:v>
      </x:c>
      <x:c r="D82" s="12" t="str">
        <x:v>account_help</x:v>
      </x:c>
      <x:c r="E82" s="11" t="str">
        <x:v>account_help</x:v>
      </x:c>
      <x:c r="F82" s="11" t="str">
        <x:f>IF(D82="","PENDING",IF(E82=D82,"PASS","FAIL"))</x:f>
        <x:v>PASS</x:v>
      </x:c>
      <x:c r="G82" s="11" t="str">
        <x:v>account_help</x:v>
      </x:c>
      <x:c r="H82" s="11" t="str">
        <x:f>IF(D82="","PENDING",IF(G82=D82,"PASS","FAIL"))</x:f>
        <x:v>PASS</x:v>
      </x:c>
      <x:c r="I82" s="11" t="str">
        <x:f>IF(OR(F82="PENDING",H82="PENDING"),"PENDING",IF(F82="FAIL",IF(H82="PASS","WIN","STILL_FAIL"),IF(H82="FAIL","REGRESSION","STILL_PASS")))</x:f>
        <x:v>STILL_PASS</x:v>
      </x:c>
      <x:c r="J82" s="11" t="str"/>
      <x:c r="K82" s="11" t="str"/>
      <x:c r="L82" s="12" t="str"/>
      <x:c r="M82" s="12" t="str"/>
      <x:c r="N82" s="11" t="n">
        <x:f>IF(F82="PENDING","",IF(F82="PASS",1,0))</x:f>
        <x:v>1</x:v>
      </x:c>
      <x:c r="O82" s="11" t="n">
        <x:f>IF(H82="PENDING","",IF(H82="PASS",1,0))</x:f>
        <x:v>1</x:v>
      </x:c>
    </x:row>
    <x:row r="83" ht="55" customHeight="1">
      <x:c r="A83" s="11" t="str">
        <x:v>t077</x:v>
      </x:c>
      <x:c r="B83" s="11" t="str">
        <x:v>I've been receiving 2FA codes that I never asked for. Is someone attempting to break into my account?</x:v>
      </x:c>
      <x:c r="C83" s="11" t="str">
        <x:v>account_help</x:v>
      </x:c>
      <x:c r="D83" s="12" t="str">
        <x:v>account_help</x:v>
      </x:c>
      <x:c r="E83" s="11" t="str">
        <x:v>account_help</x:v>
      </x:c>
      <x:c r="F83" s="11" t="str">
        <x:f>IF(D83="","PENDING",IF(E83=D83,"PASS","FAIL"))</x:f>
        <x:v>PASS</x:v>
      </x:c>
      <x:c r="G83" s="11" t="str">
        <x:v>account_help</x:v>
      </x:c>
      <x:c r="H83" s="11" t="str">
        <x:f>IF(D83="","PENDING",IF(G83=D83,"PASS","FAIL"))</x:f>
        <x:v>PASS</x:v>
      </x:c>
      <x:c r="I83" s="11" t="str">
        <x:f>IF(OR(F83="PENDING",H83="PENDING"),"PENDING",IF(F83="FAIL",IF(H83="PASS","WIN","STILL_FAIL"),IF(H83="FAIL","REGRESSION","STILL_PASS")))</x:f>
        <x:v>STILL_PASS</x:v>
      </x:c>
      <x:c r="J83" s="11" t="str"/>
      <x:c r="K83" s="11" t="str"/>
      <x:c r="L83" s="12" t="str"/>
      <x:c r="M83" s="12" t="str"/>
      <x:c r="N83" s="11" t="n">
        <x:f>IF(F83="PENDING","",IF(F83="PASS",1,0))</x:f>
        <x:v>1</x:v>
      </x:c>
      <x:c r="O83" s="11" t="n">
        <x:f>IF(H83="PENDING","",IF(H83="PASS",1,0))</x:f>
        <x:v>1</x:v>
      </x:c>
    </x:row>
    <x:row r="84" ht="55" customHeight="1">
      <x:c r="A84" s="11" t="str">
        <x:v>t078</x:v>
      </x:c>
      <x:c r="B84" s="11" t="str">
        <x:v>I've noticed I'm getting multiple 2FA codes sent to me that I didn't request. Can someone clarify if my account is being compromised?</x:v>
      </x:c>
      <x:c r="C84" s="11" t="str">
        <x:v>account_help</x:v>
      </x:c>
      <x:c r="D84" s="12" t="str">
        <x:v>account_help</x:v>
      </x:c>
      <x:c r="E84" s="11" t="str">
        <x:v>account_help</x:v>
      </x:c>
      <x:c r="F84" s="11" t="str">
        <x:f>IF(D84="","PENDING",IF(E84=D84,"PASS","FAIL"))</x:f>
        <x:v>PASS</x:v>
      </x:c>
      <x:c r="G84" s="11" t="str">
        <x:v>account_help</x:v>
      </x:c>
      <x:c r="H84" s="11" t="str">
        <x:f>IF(D84="","PENDING",IF(G84=D84,"PASS","FAIL"))</x:f>
        <x:v>PASS</x:v>
      </x:c>
      <x:c r="I84" s="11" t="str">
        <x:f>IF(OR(F84="PENDING",H84="PENDING"),"PENDING",IF(F84="FAIL",IF(H84="PASS","WIN","STILL_FAIL"),IF(H84="FAIL","REGRESSION","STILL_PASS")))</x:f>
        <x:v>STILL_PASS</x:v>
      </x:c>
      <x:c r="J84" s="11" t="str"/>
      <x:c r="K84" s="11" t="str"/>
      <x:c r="L84" s="12" t="str"/>
      <x:c r="M84" s="12" t="str"/>
      <x:c r="N84" s="11" t="n">
        <x:f>IF(F84="PENDING","",IF(F84="PASS",1,0))</x:f>
        <x:v>1</x:v>
      </x:c>
      <x:c r="O84" s="11" t="n">
        <x:f>IF(H84="PENDING","",IF(H84="PASS",1,0))</x:f>
        <x:v>1</x:v>
      </x:c>
    </x:row>
    <x:row r="85" ht="55" customHeight="1">
      <x:c r="A85" s="11" t="str">
        <x:v>t079</x:v>
      </x:c>
      <x:c r="B85" s="11" t="str">
        <x:v>Why am I suddenly getting 2FA codes that I didn't ask for? Is there a chance my account has been hacked?</x:v>
      </x:c>
      <x:c r="C85" s="11" t="str">
        <x:v>account_help</x:v>
      </x:c>
      <x:c r="D85" s="12" t="str">
        <x:v>account_help</x:v>
      </x:c>
      <x:c r="E85" s="11" t="str">
        <x:v>account_help</x:v>
      </x:c>
      <x:c r="F85" s="11" t="str">
        <x:f>IF(D85="","PENDING",IF(E85=D85,"PASS","FAIL"))</x:f>
        <x:v>PASS</x:v>
      </x:c>
      <x:c r="G85" s="11" t="str">
        <x:v>account_help</x:v>
      </x:c>
      <x:c r="H85" s="11" t="str">
        <x:f>IF(D85="","PENDING",IF(G85=D85,"PASS","FAIL"))</x:f>
        <x:v>PASS</x:v>
      </x:c>
      <x:c r="I85" s="11" t="str">
        <x:f>IF(OR(F85="PENDING",H85="PENDING"),"PENDING",IF(F85="FAIL",IF(H85="PASS","WIN","STILL_FAIL"),IF(H85="FAIL","REGRESSION","STILL_PASS")))</x:f>
        <x:v>STILL_PASS</x:v>
      </x:c>
      <x:c r="J85" s="11" t="str"/>
      <x:c r="K85" s="11" t="str"/>
      <x:c r="L85" s="12" t="str"/>
      <x:c r="M85" s="12" t="str"/>
      <x:c r="N85" s="11" t="n">
        <x:f>IF(F85="PENDING","",IF(F85="PASS",1,0))</x:f>
        <x:v>1</x:v>
      </x:c>
      <x:c r="O85" s="11" t="n">
        <x:f>IF(H85="PENDING","",IF(H85="PASS",1,0))</x:f>
        <x:v>1</x:v>
      </x:c>
    </x:row>
    <x:row r="86" ht="55" customHeight="1">
      <x:c r="A86" s="11" t="str">
        <x:v>t080</x:v>
      </x:c>
      <x:c r="B86" s="11" t="str">
        <x:v>Do you guys ship to Canada? Couldn't find it on the FAQ page.</x:v>
      </x:c>
      <x:c r="C86" s="11" t="str">
        <x:v>other</x:v>
      </x:c>
      <x:c r="D86" s="12" t="str">
        <x:v>other</x:v>
      </x:c>
      <x:c r="E86" s="11" t="str">
        <x:v>other</x:v>
      </x:c>
      <x:c r="F86" s="11" t="str">
        <x:f>IF(D86="","PENDING",IF(E86=D86,"PASS","FAIL"))</x:f>
        <x:v>PASS</x:v>
      </x:c>
      <x:c r="G86" s="11" t="str">
        <x:v>other</x:v>
      </x:c>
      <x:c r="H86" s="11" t="str">
        <x:f>IF(D86="","PENDING",IF(G86=D86,"PASS","FAIL"))</x:f>
        <x:v>PASS</x:v>
      </x:c>
      <x:c r="I86" s="11" t="str">
        <x:f>IF(OR(F86="PENDING",H86="PENDING"),"PENDING",IF(F86="FAIL",IF(H86="PASS","WIN","STILL_FAIL"),IF(H86="FAIL","REGRESSION","STILL_PASS")))</x:f>
        <x:v>STILL_PASS</x:v>
      </x:c>
      <x:c r="J86" s="11" t="str"/>
      <x:c r="K86" s="11" t="str"/>
      <x:c r="L86" s="12" t="str"/>
      <x:c r="M86" s="12" t="str"/>
      <x:c r="N86" s="11" t="n">
        <x:f>IF(F86="PENDING","",IF(F86="PASS",1,0))</x:f>
        <x:v>1</x:v>
      </x:c>
      <x:c r="O86" s="11" t="n">
        <x:f>IF(H86="PENDING","",IF(H86="PASS",1,0))</x:f>
        <x:v>1</x:v>
      </x:c>
    </x:row>
    <x:row r="87" ht="55" customHeight="1">
      <x:c r="A87" s="11" t="str">
        <x:v>t081</x:v>
      </x:c>
      <x:c r="B87" s="11" t="str">
        <x:v>Hey, do you even ship to Canada? I searched the FAQ and it’s not there. What’s the deal?</x:v>
      </x:c>
      <x:c r="C87" s="11" t="str">
        <x:v>other</x:v>
      </x:c>
      <x:c r="D87" s="12" t="str">
        <x:v>other</x:v>
      </x:c>
      <x:c r="E87" s="11" t="str">
        <x:v>other</x:v>
      </x:c>
      <x:c r="F87" s="11" t="str">
        <x:f>IF(D87="","PENDING",IF(E87=D87,"PASS","FAIL"))</x:f>
        <x:v>PASS</x:v>
      </x:c>
      <x:c r="G87" s="11" t="str">
        <x:v>other</x:v>
      </x:c>
      <x:c r="H87" s="11" t="str">
        <x:f>IF(D87="","PENDING",IF(G87=D87,"PASS","FAIL"))</x:f>
        <x:v>PASS</x:v>
      </x:c>
      <x:c r="I87" s="11" t="str">
        <x:f>IF(OR(F87="PENDING",H87="PENDING"),"PENDING",IF(F87="FAIL",IF(H87="PASS","WIN","STILL_FAIL"),IF(H87="FAIL","REGRESSION","STILL_PASS")))</x:f>
        <x:v>STILL_PASS</x:v>
      </x:c>
      <x:c r="J87" s="11" t="str"/>
      <x:c r="K87" s="11" t="str"/>
      <x:c r="L87" s="12" t="str"/>
      <x:c r="M87" s="12" t="str"/>
      <x:c r="N87" s="11" t="n">
        <x:f>IF(F87="PENDING","",IF(F87="PASS",1,0))</x:f>
        <x:v>1</x:v>
      </x:c>
      <x:c r="O87" s="11" t="n">
        <x:f>IF(H87="PENDING","",IF(H87="PASS",1,0))</x:f>
        <x:v>1</x:v>
      </x:c>
    </x:row>
    <x:row r="88" ht="55" customHeight="1">
      <x:c r="A88" s="11" t="str">
        <x:v>t082</x:v>
      </x:c>
      <x:c r="B88" s="11" t="str">
        <x:v>Hi there! I was wondering if you ship to Canada because I didn’t see that info in the FAQ section. Can you help?</x:v>
      </x:c>
      <x:c r="C88" s="11" t="str">
        <x:v>other</x:v>
      </x:c>
      <x:c r="D88" s="12" t="str">
        <x:v>other</x:v>
      </x:c>
      <x:c r="E88" s="11" t="str">
        <x:v>other</x:v>
      </x:c>
      <x:c r="F88" s="11" t="str">
        <x:f>IF(D88="","PENDING",IF(E88=D88,"PASS","FAIL"))</x:f>
        <x:v>PASS</x:v>
      </x:c>
      <x:c r="G88" s="11" t="str">
        <x:v>other</x:v>
      </x:c>
      <x:c r="H88" s="11" t="str">
        <x:f>IF(D88="","PENDING",IF(G88=D88,"PASS","FAIL"))</x:f>
        <x:v>PASS</x:v>
      </x:c>
      <x:c r="I88" s="11" t="str">
        <x:f>IF(OR(F88="PENDING",H88="PENDING"),"PENDING",IF(F88="FAIL",IF(H88="PASS","WIN","STILL_FAIL"),IF(H88="FAIL","REGRESSION","STILL_PASS")))</x:f>
        <x:v>STILL_PASS</x:v>
      </x:c>
      <x:c r="J88" s="11" t="str"/>
      <x:c r="K88" s="11" t="str"/>
      <x:c r="L88" s="12" t="str"/>
      <x:c r="M88" s="12" t="str"/>
      <x:c r="N88" s="11" t="n">
        <x:f>IF(F88="PENDING","",IF(F88="PASS",1,0))</x:f>
        <x:v>1</x:v>
      </x:c>
      <x:c r="O88" s="11" t="n">
        <x:f>IF(H88="PENDING","",IF(H88="PASS",1,0))</x:f>
        <x:v>1</x:v>
      </x:c>
    </x:row>
    <x:row r="89" ht="55" customHeight="1">
      <x:c r="A89" s="11" t="str">
        <x:v>t083</x:v>
      </x:c>
      <x:c r="B89" s="11" t="str">
        <x:v>Quick question: do you ship to Canada? I couldn’t find any mention of it on the FAQ page.</x:v>
      </x:c>
      <x:c r="C89" s="11" t="str">
        <x:v>other</x:v>
      </x:c>
      <x:c r="D89" s="12" t="str">
        <x:v>other</x:v>
      </x:c>
      <x:c r="E89" s="11" t="str">
        <x:v>other</x:v>
      </x:c>
      <x:c r="F89" s="11" t="str">
        <x:f>IF(D89="","PENDING",IF(E89=D89,"PASS","FAIL"))</x:f>
        <x:v>PASS</x:v>
      </x:c>
      <x:c r="G89" s="11" t="str">
        <x:v>other</x:v>
      </x:c>
      <x:c r="H89" s="11" t="str">
        <x:f>IF(D89="","PENDING",IF(G89=D89,"PASS","FAIL"))</x:f>
        <x:v>PASS</x:v>
      </x:c>
      <x:c r="I89" s="11" t="str">
        <x:f>IF(OR(F89="PENDING",H89="PENDING"),"PENDING",IF(F89="FAIL",IF(H89="PASS","WIN","STILL_FAIL"),IF(H89="FAIL","REGRESSION","STILL_PASS")))</x:f>
        <x:v>STILL_PASS</x:v>
      </x:c>
      <x:c r="J89" s="11" t="str"/>
      <x:c r="K89" s="11" t="str"/>
      <x:c r="L89" s="12" t="str"/>
      <x:c r="M89" s="12" t="str"/>
      <x:c r="N89" s="11" t="n">
        <x:f>IF(F89="PENDING","",IF(F89="PASS",1,0))</x:f>
        <x:v>1</x:v>
      </x:c>
      <x:c r="O89" s="11" t="n">
        <x:f>IF(H89="PENDING","",IF(H89="PASS",1,0))</x:f>
        <x:v>1</x:v>
      </x:c>
    </x:row>
    <x:row r="90" ht="55" customHeight="1">
      <x:c r="A90" s="11" t="str">
        <x:v>t084</x:v>
      </x:c>
      <x:c r="B90" s="11" t="str">
        <x:v>Just wanted to say the customer service rep I spoke to yesterday was amazing. Thank you!</x:v>
      </x:c>
      <x:c r="C90" s="11" t="str">
        <x:v>other</x:v>
      </x:c>
      <x:c r="D90" s="12" t="str">
        <x:v>other</x:v>
      </x:c>
      <x:c r="E90" s="11" t="str">
        <x:v>other</x:v>
      </x:c>
      <x:c r="F90" s="11" t="str">
        <x:f>IF(D90="","PENDING",IF(E90=D90,"PASS","FAIL"))</x:f>
        <x:v>PASS</x:v>
      </x:c>
      <x:c r="G90" s="11" t="str">
        <x:v>other</x:v>
      </x:c>
      <x:c r="H90" s="11" t="str">
        <x:f>IF(D90="","PENDING",IF(G90=D90,"PASS","FAIL"))</x:f>
        <x:v>PASS</x:v>
      </x:c>
      <x:c r="I90" s="11" t="str">
        <x:f>IF(OR(F90="PENDING",H90="PENDING"),"PENDING",IF(F90="FAIL",IF(H90="PASS","WIN","STILL_FAIL"),IF(H90="FAIL","REGRESSION","STILL_PASS")))</x:f>
        <x:v>STILL_PASS</x:v>
      </x:c>
      <x:c r="J90" s="11" t="str"/>
      <x:c r="K90" s="11" t="str"/>
      <x:c r="L90" s="12" t="str"/>
      <x:c r="M90" s="12" t="str"/>
      <x:c r="N90" s="11" t="n">
        <x:f>IF(F90="PENDING","",IF(F90="PASS",1,0))</x:f>
        <x:v>1</x:v>
      </x:c>
      <x:c r="O90" s="11" t="n">
        <x:f>IF(H90="PENDING","",IF(H90="PASS",1,0))</x:f>
        <x:v>1</x:v>
      </x:c>
    </x:row>
    <x:row r="91" ht="55" customHeight="1">
      <x:c r="A91" s="11" t="str">
        <x:v>t085</x:v>
      </x:c>
      <x:c r="B91" s="11" t="str">
        <x:v>I'm really impressed with the customer service representative I talked to yesterday. They were fantastic, thanks a lot!</x:v>
      </x:c>
      <x:c r="C91" s="11" t="str">
        <x:v>other</x:v>
      </x:c>
      <x:c r="D91" s="12" t="str">
        <x:v>other</x:v>
      </x:c>
      <x:c r="E91" s="11" t="str">
        <x:v>other</x:v>
      </x:c>
      <x:c r="F91" s="11" t="str">
        <x:f>IF(D91="","PENDING",IF(E91=D91,"PASS","FAIL"))</x:f>
        <x:v>PASS</x:v>
      </x:c>
      <x:c r="G91" s="11" t="str">
        <x:v>other</x:v>
      </x:c>
      <x:c r="H91" s="11" t="str">
        <x:f>IF(D91="","PENDING",IF(G91=D91,"PASS","FAIL"))</x:f>
        <x:v>PASS</x:v>
      </x:c>
      <x:c r="I91" s="11" t="str">
        <x:f>IF(OR(F91="PENDING",H91="PENDING"),"PENDING",IF(F91="FAIL",IF(H91="PASS","WIN","STILL_FAIL"),IF(H91="FAIL","REGRESSION","STILL_PASS")))</x:f>
        <x:v>STILL_PASS</x:v>
      </x:c>
      <x:c r="J91" s="11" t="str"/>
      <x:c r="K91" s="11" t="str"/>
      <x:c r="L91" s="12" t="str"/>
      <x:c r="M91" s="12" t="str"/>
      <x:c r="N91" s="11" t="n">
        <x:f>IF(F91="PENDING","",IF(F91="PASS",1,0))</x:f>
        <x:v>1</x:v>
      </x:c>
      <x:c r="O91" s="11" t="n">
        <x:f>IF(H91="PENDING","",IF(H91="PASS",1,0))</x:f>
        <x:v>1</x:v>
      </x:c>
    </x:row>
    <x:row r="92" ht="55" customHeight="1">
      <x:c r="A92" s="11" t="str">
        <x:v>t086</x:v>
      </x:c>
      <x:c r="B92" s="11" t="str">
        <x:v>I just have to mention that the support agent I had yesterday was incredible. I appreciate it!</x:v>
      </x:c>
      <x:c r="C92" s="11" t="str">
        <x:v>other</x:v>
      </x:c>
      <x:c r="D92" s="12" t="str">
        <x:v>other</x:v>
      </x:c>
      <x:c r="E92" s="11" t="str">
        <x:v>other</x:v>
      </x:c>
      <x:c r="F92" s="11" t="str">
        <x:f>IF(D92="","PENDING",IF(E92=D92,"PASS","FAIL"))</x:f>
        <x:v>PASS</x:v>
      </x:c>
      <x:c r="G92" s="11" t="str">
        <x:v>other</x:v>
      </x:c>
      <x:c r="H92" s="11" t="str">
        <x:f>IF(D92="","PENDING",IF(G92=D92,"PASS","FAIL"))</x:f>
        <x:v>PASS</x:v>
      </x:c>
      <x:c r="I92" s="11" t="str">
        <x:f>IF(OR(F92="PENDING",H92="PENDING"),"PENDING",IF(F92="FAIL",IF(H92="PASS","WIN","STILL_FAIL"),IF(H92="FAIL","REGRESSION","STILL_PASS")))</x:f>
        <x:v>STILL_PASS</x:v>
      </x:c>
      <x:c r="J92" s="11" t="str"/>
      <x:c r="K92" s="11" t="str"/>
      <x:c r="L92" s="12" t="str"/>
      <x:c r="M92" s="12" t="str"/>
      <x:c r="N92" s="11" t="n">
        <x:f>IF(F92="PENDING","",IF(F92="PASS",1,0))</x:f>
        <x:v>1</x:v>
      </x:c>
      <x:c r="O92" s="11" t="n">
        <x:f>IF(H92="PENDING","",IF(H92="PASS",1,0))</x:f>
        <x:v>1</x:v>
      </x:c>
    </x:row>
    <x:row r="93" ht="55" customHeight="1">
      <x:c r="A93" s="11" t="str">
        <x:v>t087</x:v>
      </x:c>
      <x:c r="B93" s="11" t="str">
        <x:v>Shoutout to the customer service person I spoke with yesterday; they were really helpful. Thanks a million!</x:v>
      </x:c>
      <x:c r="C93" s="11" t="str">
        <x:v>other</x:v>
      </x:c>
      <x:c r="D93" s="12" t="str">
        <x:v>other</x:v>
      </x:c>
      <x:c r="E93" s="11" t="str">
        <x:v>other</x:v>
      </x:c>
      <x:c r="F93" s="11" t="str">
        <x:f>IF(D93="","PENDING",IF(E93=D93,"PASS","FAIL"))</x:f>
        <x:v>PASS</x:v>
      </x:c>
      <x:c r="G93" s="11" t="str">
        <x:v>other</x:v>
      </x:c>
      <x:c r="H93" s="11" t="str">
        <x:f>IF(D93="","PENDING",IF(G93=D93,"PASS","FAIL"))</x:f>
        <x:v>PASS</x:v>
      </x:c>
      <x:c r="I93" s="11" t="str">
        <x:f>IF(OR(F93="PENDING",H93="PENDING"),"PENDING",IF(F93="FAIL",IF(H93="PASS","WIN","STILL_FAIL"),IF(H93="FAIL","REGRESSION","STILL_PASS")))</x:f>
        <x:v>STILL_PASS</x:v>
      </x:c>
      <x:c r="J93" s="11" t="str"/>
      <x:c r="K93" s="11" t="str"/>
      <x:c r="L93" s="12" t="str"/>
      <x:c r="M93" s="12" t="str"/>
      <x:c r="N93" s="11" t="n">
        <x:f>IF(F93="PENDING","",IF(F93="PASS",1,0))</x:f>
        <x:v>1</x:v>
      </x:c>
      <x:c r="O93" s="11" t="n">
        <x:f>IF(H93="PENDING","",IF(H93="PASS",1,0))</x:f>
        <x:v>1</x:v>
      </x:c>
    </x:row>
    <x:row r="94" ht="55" customHeight="1">
      <x:c r="A94" s="11" t="str">
        <x:v>t088</x:v>
      </x:c>
      <x:c r="B94" s="11" t="str">
        <x:v>Is the red version of SKU-1140 back in stock?</x:v>
      </x:c>
      <x:c r="C94" s="11" t="str">
        <x:v>other</x:v>
      </x:c>
      <x:c r="D94" s="12" t="str">
        <x:v>other</x:v>
      </x:c>
      <x:c r="E94" s="11" t="str">
        <x:v>other</x:v>
      </x:c>
      <x:c r="F94" s="11" t="str">
        <x:f>IF(D94="","PENDING",IF(E94=D94,"PASS","FAIL"))</x:f>
        <x:v>PASS</x:v>
      </x:c>
      <x:c r="G94" s="11" t="str">
        <x:v>other</x:v>
      </x:c>
      <x:c r="H94" s="11" t="str">
        <x:f>IF(D94="","PENDING",IF(G94=D94,"PASS","FAIL"))</x:f>
        <x:v>PASS</x:v>
      </x:c>
      <x:c r="I94" s="11" t="str">
        <x:f>IF(OR(F94="PENDING",H94="PENDING"),"PENDING",IF(F94="FAIL",IF(H94="PASS","WIN","STILL_FAIL"),IF(H94="FAIL","REGRESSION","STILL_PASS")))</x:f>
        <x:v>STILL_PASS</x:v>
      </x:c>
      <x:c r="J94" s="11" t="str"/>
      <x:c r="K94" s="11" t="str"/>
      <x:c r="L94" s="12" t="str"/>
      <x:c r="M94" s="12" t="str"/>
      <x:c r="N94" s="11" t="n">
        <x:f>IF(F94="PENDING","",IF(F94="PASS",1,0))</x:f>
        <x:v>1</x:v>
      </x:c>
      <x:c r="O94" s="11" t="n">
        <x:f>IF(H94="PENDING","",IF(H94="PASS",1,0))</x:f>
        <x:v>1</x:v>
      </x:c>
    </x:row>
    <x:row r="95" ht="55" customHeight="1">
      <x:c r="A95" s="11" t="str">
        <x:v>t089</x:v>
      </x:c>
      <x:c r="B95" s="11" t="str">
        <x:v>I was wondering if the red SKU-1140 is available again? It's been a while and I really need it!</x:v>
      </x:c>
      <x:c r="C95" s="11" t="str">
        <x:v>other</x:v>
      </x:c>
      <x:c r="D95" s="12" t="str">
        <x:v>other</x:v>
      </x:c>
      <x:c r="E95" s="11" t="str">
        <x:v>other</x:v>
      </x:c>
      <x:c r="F95" s="11" t="str">
        <x:f>IF(D95="","PENDING",IF(E95=D95,"PASS","FAIL"))</x:f>
        <x:v>PASS</x:v>
      </x:c>
      <x:c r="G95" s="11" t="str">
        <x:v>other</x:v>
      </x:c>
      <x:c r="H95" s="11" t="str">
        <x:f>IF(D95="","PENDING",IF(G95=D95,"PASS","FAIL"))</x:f>
        <x:v>PASS</x:v>
      </x:c>
      <x:c r="I95" s="11" t="str">
        <x:f>IF(OR(F95="PENDING",H95="PENDING"),"PENDING",IF(F95="FAIL",IF(H95="PASS","WIN","STILL_FAIL"),IF(H95="FAIL","REGRESSION","STILL_PASS")))</x:f>
        <x:v>STILL_PASS</x:v>
      </x:c>
      <x:c r="J95" s="11" t="str"/>
      <x:c r="K95" s="11" t="str"/>
      <x:c r="L95" s="12" t="str"/>
      <x:c r="M95" s="12" t="str"/>
      <x:c r="N95" s="11" t="n">
        <x:f>IF(F95="PENDING","",IF(F95="PASS",1,0))</x:f>
        <x:v>1</x:v>
      </x:c>
      <x:c r="O95" s="11" t="n">
        <x:f>IF(H95="PENDING","",IF(H95="PASS",1,0))</x:f>
        <x:v>1</x:v>
      </x:c>
    </x:row>
    <x:row r="96" ht="55" customHeight="1">
      <x:c r="A96" s="11" t="str">
        <x:v>t090</x:v>
      </x:c>
      <x:c r="B96" s="11" t="str">
        <x:v>Could you let me know when the red variant of SKU-1140 will be restocked? I'm quite eager to buy it!</x:v>
      </x:c>
      <x:c r="C96" s="11" t="str">
        <x:v>other</x:v>
      </x:c>
      <x:c r="D96" s="12" t="str">
        <x:v>other</x:v>
      </x:c>
      <x:c r="E96" s="11" t="str">
        <x:v>other</x:v>
      </x:c>
      <x:c r="F96" s="11" t="str">
        <x:f>IF(D96="","PENDING",IF(E96=D96,"PASS","FAIL"))</x:f>
        <x:v>PASS</x:v>
      </x:c>
      <x:c r="G96" s="11" t="str">
        <x:v>other</x:v>
      </x:c>
      <x:c r="H96" s="11" t="str">
        <x:f>IF(D96="","PENDING",IF(G96=D96,"PASS","FAIL"))</x:f>
        <x:v>PASS</x:v>
      </x:c>
      <x:c r="I96" s="11" t="str">
        <x:f>IF(OR(F96="PENDING",H96="PENDING"),"PENDING",IF(F96="FAIL",IF(H96="PASS","WIN","STILL_FAIL"),IF(H96="FAIL","REGRESSION","STILL_PASS")))</x:f>
        <x:v>STILL_PASS</x:v>
      </x:c>
      <x:c r="J96" s="11" t="str"/>
      <x:c r="K96" s="11" t="str"/>
      <x:c r="L96" s="12" t="str"/>
      <x:c r="M96" s="12" t="str"/>
      <x:c r="N96" s="11" t="n">
        <x:f>IF(F96="PENDING","",IF(F96="PASS",1,0))</x:f>
        <x:v>1</x:v>
      </x:c>
      <x:c r="O96" s="11" t="n">
        <x:f>IF(H96="PENDING","",IF(H96="PASS",1,0))</x:f>
        <x:v>1</x:v>
      </x:c>
    </x:row>
    <x:row r="97" ht="55" customHeight="1">
      <x:c r="A97" s="11" t="str">
        <x:v>t091</x:v>
      </x:c>
      <x:c r="B97" s="11" t="str">
        <x:v>Hey, is the red SKU-1140 back in stock yet? It feels like forever since I last checked.</x:v>
      </x:c>
      <x:c r="C97" s="11" t="str">
        <x:v>other</x:v>
      </x:c>
      <x:c r="D97" s="12" t="str">
        <x:v>other</x:v>
      </x:c>
      <x:c r="E97" s="11" t="str">
        <x:v>other</x:v>
      </x:c>
      <x:c r="F97" s="11" t="str">
        <x:f>IF(D97="","PENDING",IF(E97=D97,"PASS","FAIL"))</x:f>
        <x:v>PASS</x:v>
      </x:c>
      <x:c r="G97" s="11" t="str">
        <x:v>other</x:v>
      </x:c>
      <x:c r="H97" s="11" t="str">
        <x:f>IF(D97="","PENDING",IF(G97=D97,"PASS","FAIL"))</x:f>
        <x:v>PASS</x:v>
      </x:c>
      <x:c r="I97" s="11" t="str">
        <x:f>IF(OR(F97="PENDING",H97="PENDING"),"PENDING",IF(F97="FAIL",IF(H97="PASS","WIN","STILL_FAIL"),IF(H97="FAIL","REGRESSION","STILL_PASS")))</x:f>
        <x:v>STILL_PASS</x:v>
      </x:c>
      <x:c r="J97" s="11" t="str"/>
      <x:c r="K97" s="11" t="str"/>
      <x:c r="L97" s="12" t="str"/>
      <x:c r="M97" s="12" t="str"/>
      <x:c r="N97" s="11" t="n">
        <x:f>IF(F97="PENDING","",IF(F97="PASS",1,0))</x:f>
        <x:v>1</x:v>
      </x:c>
      <x:c r="O97" s="11" t="n">
        <x:f>IF(H97="PENDING","",IF(H97="PASS",1,0))</x:f>
        <x:v>1</x:v>
      </x:c>
    </x:row>
    <x:row r="98" ht="55" customHeight="1">
      <x:c r="A98" s="11" t="str">
        <x:v>t092</x:v>
      </x:c>
      <x:c r="B98" s="11" t="str">
        <x:v>Do you offer a student discount? Couldn't find one at checkout.</x:v>
      </x:c>
      <x:c r="C98" s="11" t="str">
        <x:v>other</x:v>
      </x:c>
      <x:c r="D98" s="12" t="str">
        <x:v>other</x:v>
      </x:c>
      <x:c r="E98" s="11" t="str">
        <x:v>other</x:v>
      </x:c>
      <x:c r="F98" s="11" t="str">
        <x:f>IF(D98="","PENDING",IF(E98=D98,"PASS","FAIL"))</x:f>
        <x:v>PASS</x:v>
      </x:c>
      <x:c r="G98" s="11" t="str">
        <x:v>other</x:v>
      </x:c>
      <x:c r="H98" s="11" t="str">
        <x:f>IF(D98="","PENDING",IF(G98=D98,"PASS","FAIL"))</x:f>
        <x:v>PASS</x:v>
      </x:c>
      <x:c r="I98" s="11" t="str">
        <x:f>IF(OR(F98="PENDING",H98="PENDING"),"PENDING",IF(F98="FAIL",IF(H98="PASS","WIN","STILL_FAIL"),IF(H98="FAIL","REGRESSION","STILL_PASS")))</x:f>
        <x:v>STILL_PASS</x:v>
      </x:c>
      <x:c r="J98" s="11" t="str"/>
      <x:c r="K98" s="11" t="str"/>
      <x:c r="L98" s="12" t="str"/>
      <x:c r="M98" s="12" t="str"/>
      <x:c r="N98" s="11" t="n">
        <x:f>IF(F98="PENDING","",IF(F98="PASS",1,0))</x:f>
        <x:v>1</x:v>
      </x:c>
      <x:c r="O98" s="11" t="n">
        <x:f>IF(H98="PENDING","",IF(H98="PASS",1,0))</x:f>
        <x:v>1</x:v>
      </x:c>
    </x:row>
    <x:row r="99" ht="55" customHeight="1">
      <x:c r="A99" s="11" t="str">
        <x:v>t093</x:v>
      </x:c>
      <x:c r="B99" s="11" t="str">
        <x:v>I'm really disappointed that I can't find a student discount option. Do you guys even offer one? My order number is 12345.</x:v>
      </x:c>
      <x:c r="C99" s="11" t="str">
        <x:v>other</x:v>
      </x:c>
      <x:c r="D99" s="12" t="str">
        <x:v>other</x:v>
      </x:c>
      <x:c r="E99" s="11" t="str">
        <x:v>other</x:v>
      </x:c>
      <x:c r="F99" s="11" t="str">
        <x:f>IF(D99="","PENDING",IF(E99=D99,"PASS","FAIL"))</x:f>
        <x:v>PASS</x:v>
      </x:c>
      <x:c r="G99" s="11" t="str">
        <x:v>other</x:v>
      </x:c>
      <x:c r="H99" s="11" t="str">
        <x:f>IF(D99="","PENDING",IF(G99=D99,"PASS","FAIL"))</x:f>
        <x:v>PASS</x:v>
      </x:c>
      <x:c r="I99" s="11" t="str">
        <x:f>IF(OR(F99="PENDING",H99="PENDING"),"PENDING",IF(F99="FAIL",IF(H99="PASS","WIN","STILL_FAIL"),IF(H99="FAIL","REGRESSION","STILL_PASS")))</x:f>
        <x:v>STILL_PASS</x:v>
      </x:c>
      <x:c r="J99" s="11" t="str"/>
      <x:c r="K99" s="11" t="str"/>
      <x:c r="L99" s="12" t="str"/>
      <x:c r="M99" s="12" t="str"/>
      <x:c r="N99" s="11" t="n">
        <x:f>IF(F99="PENDING","",IF(F99="PASS",1,0))</x:f>
        <x:v>1</x:v>
      </x:c>
      <x:c r="O99" s="11" t="n">
        <x:f>IF(H99="PENDING","",IF(H99="PASS",1,0))</x:f>
        <x:v>1</x:v>
      </x:c>
    </x:row>
    <x:row r="100" ht="90" customHeight="1">
      <x:c r="A100" s="11" t="str">
        <x:v>t094</x:v>
      </x:c>
      <x:c r="B100" s="11" t="str">
        <x:v>Excuse me, but I was hoping to use a student discount on my order, but I didn't see it available at checkout. Can you help me out with that? My invoice number is 67890.</x:v>
      </x:c>
      <x:c r="C100" s="11" t="str">
        <x:v>other</x:v>
      </x:c>
      <x:c r="D100" s="12" t="str">
        <x:v>other</x:v>
      </x:c>
      <x:c r="E100" s="11" t="str">
        <x:v>other</x:v>
      </x:c>
      <x:c r="F100" s="11" t="str">
        <x:f>IF(D100="","PENDING",IF(E100=D100,"PASS","FAIL"))</x:f>
        <x:v>PASS</x:v>
      </x:c>
      <x:c r="G100" s="11" t="str">
        <x:v>account_help</x:v>
      </x:c>
      <x:c r="H100" s="11" t="str">
        <x:f>IF(D100="","PENDING",IF(G100=D100,"PASS","FAIL"))</x:f>
        <x:v>FAIL</x:v>
      </x:c>
      <x:c r="I100" s="11" t="str">
        <x:f>IF(OR(F100="PENDING",H100="PENDING"),"PENDING",IF(F100="FAIL",IF(H100="PASS","WIN","STILL_FAIL"),IF(H100="FAIL","REGRESSION","STILL_PASS")))</x:f>
        <x:v>REGRESSION</x:v>
      </x:c>
      <x:c r="J100" s="11" t="str">
        <x:v>Technical context mistaken for account problem</x:v>
      </x:c>
      <x:c r="K100" s="11" t="str">
        <x:v>The customer asks whether a student discount exists. Mentioning checkout or an order number does not establish an account or authentication problem.</x:v>
      </x:c>
      <x:c r="L100" s="12" t="str">
        <x:v>Draft explanation: The customer asks about student-discount availability. Checkout wording and an order number do not establish an account problem. The baseline other prediction is correct; the upstream revision incorrectly predicts account_help.</x:v>
      </x:c>
      <x:c r="M100" s="12" t="str">
        <x:v>Approved</x:v>
      </x:c>
      <x:c r="N100" s="11" t="n">
        <x:f>IF(F100="PENDING","",IF(F100="PASS",1,0))</x:f>
        <x:v>1</x:v>
      </x:c>
      <x:c r="O100" s="11" t="n">
        <x:f>IF(H100="PENDING","",IF(H100="PASS",1,0))</x:f>
        <x:v>0</x:v>
      </x:c>
    </x:row>
    <x:row r="101" ht="90" customHeight="1">
      <x:c r="A101" s="11" t="str">
        <x:v>t095</x:v>
      </x:c>
      <x:c r="B101" s="11" t="str">
        <x:v>Hey, I'm trying to check out but I don't see any student discount. Do you offer that at all? My order is ABC123.</x:v>
      </x:c>
      <x:c r="C101" s="11" t="str">
        <x:v>other</x:v>
      </x:c>
      <x:c r="D101" s="12" t="str">
        <x:v>other</x:v>
      </x:c>
      <x:c r="E101" s="11" t="str">
        <x:v>other</x:v>
      </x:c>
      <x:c r="F101" s="11" t="str">
        <x:f>IF(D101="","PENDING",IF(E101=D101,"PASS","FAIL"))</x:f>
        <x:v>PASS</x:v>
      </x:c>
      <x:c r="G101" s="11" t="str">
        <x:v>account_help</x:v>
      </x:c>
      <x:c r="H101" s="11" t="str">
        <x:f>IF(D101="","PENDING",IF(G101=D101,"PASS","FAIL"))</x:f>
        <x:v>FAIL</x:v>
      </x:c>
      <x:c r="I101" s="11" t="str">
        <x:f>IF(OR(F101="PENDING",H101="PENDING"),"PENDING",IF(F101="FAIL",IF(H101="PASS","WIN","STILL_FAIL"),IF(H101="FAIL","REGRESSION","STILL_PASS")))</x:f>
        <x:v>REGRESSION</x:v>
      </x:c>
      <x:c r="J101" s="11" t="str">
        <x:v>Technical context mistaken for account problem</x:v>
      </x:c>
      <x:c r="K101" s="11" t="str">
        <x:v>The customer asks whether a student discount exists. Mentioning checkout or an order number does not establish an account or authentication problem.</x:v>
      </x:c>
      <x:c r="L101" s="12" t="str">
        <x:v>Draft explanation: The customer asks about student-discount availability. Checkout wording and an order number do not establish an account problem. The baseline other prediction is correct; the upstream revision incorrectly predicts account_help.</x:v>
      </x:c>
      <x:c r="M101" s="12" t="str">
        <x:v>Approved</x:v>
      </x:c>
      <x:c r="N101" s="11" t="n">
        <x:f>IF(F101="PENDING","",IF(F101="PASS",1,0))</x:f>
        <x:v>1</x:v>
      </x:c>
      <x:c r="O101" s="11" t="n">
        <x:f>IF(H101="PENDING","",IF(H101="PASS",1,0))</x:f>
        <x:v>0</x:v>
      </x:c>
    </x:row>
    <x:row r="102" ht="55" customHeight="1">
      <x:c r="A102" s="11" t="str">
        <x:v>t096</x:v>
      </x:c>
      <x:c r="B102" s="11" t="str">
        <x:v>When's your next sale? My birthday is coming up and I'd love to splurge.</x:v>
      </x:c>
      <x:c r="C102" s="11" t="str">
        <x:v>other</x:v>
      </x:c>
      <x:c r="D102" s="12" t="str">
        <x:v>other</x:v>
      </x:c>
      <x:c r="E102" s="11" t="str">
        <x:v>other</x:v>
      </x:c>
      <x:c r="F102" s="11" t="str">
        <x:f>IF(D102="","PENDING",IF(E102=D102,"PASS","FAIL"))</x:f>
        <x:v>PASS</x:v>
      </x:c>
      <x:c r="G102" s="11" t="str">
        <x:v>other</x:v>
      </x:c>
      <x:c r="H102" s="11" t="str">
        <x:f>IF(D102="","PENDING",IF(G102=D102,"PASS","FAIL"))</x:f>
        <x:v>PASS</x:v>
      </x:c>
      <x:c r="I102" s="11" t="str">
        <x:f>IF(OR(F102="PENDING",H102="PENDING"),"PENDING",IF(F102="FAIL",IF(H102="PASS","WIN","STILL_FAIL"),IF(H102="FAIL","REGRESSION","STILL_PASS")))</x:f>
        <x:v>STILL_PASS</x:v>
      </x:c>
      <x:c r="J102" s="11" t="str"/>
      <x:c r="K102" s="11" t="str"/>
      <x:c r="L102" s="12" t="str"/>
      <x:c r="M102" s="12" t="str">
        <x:v>Approved</x:v>
      </x:c>
      <x:c r="N102" s="11" t="n">
        <x:f>IF(F102="PENDING","",IF(F102="PASS",1,0))</x:f>
        <x:v>1</x:v>
      </x:c>
      <x:c r="O102" s="11" t="n">
        <x:f>IF(H102="PENDING","",IF(H102="PASS",1,0))</x:f>
        <x:v>1</x:v>
      </x:c>
    </x:row>
    <x:row r="103" ht="55" customHeight="1">
      <x:c r="A103" s="11" t="str">
        <x:v>t097</x:v>
      </x:c>
      <x:c r="B103" s="11" t="str">
        <x:v>Could you please tell me when your next sale is? My birthday is approaching, and I would really like to treat myself.</x:v>
      </x:c>
      <x:c r="C103" s="11" t="str">
        <x:v>other</x:v>
      </x:c>
      <x:c r="D103" s="12" t="str">
        <x:v>other</x:v>
      </x:c>
      <x:c r="E103" s="11" t="str">
        <x:v>other</x:v>
      </x:c>
      <x:c r="F103" s="11" t="str">
        <x:f>IF(D103="","PENDING",IF(E103=D103,"PASS","FAIL"))</x:f>
        <x:v>PASS</x:v>
      </x:c>
      <x:c r="G103" s="11" t="str">
        <x:v>other</x:v>
      </x:c>
      <x:c r="H103" s="11" t="str">
        <x:f>IF(D103="","PENDING",IF(G103=D103,"PASS","FAIL"))</x:f>
        <x:v>PASS</x:v>
      </x:c>
      <x:c r="I103" s="11" t="str">
        <x:f>IF(OR(F103="PENDING",H103="PENDING"),"PENDING",IF(F103="FAIL",IF(H103="PASS","WIN","STILL_FAIL"),IF(H103="FAIL","REGRESSION","STILL_PASS")))</x:f>
        <x:v>STILL_PASS</x:v>
      </x:c>
      <x:c r="J103" s="11" t="str"/>
      <x:c r="K103" s="11" t="str"/>
      <x:c r="L103" s="12" t="str"/>
      <x:c r="M103" s="12" t="str"/>
      <x:c r="N103" s="11" t="n">
        <x:f>IF(F103="PENDING","",IF(F103="PASS",1,0))</x:f>
        <x:v>1</x:v>
      </x:c>
      <x:c r="O103" s="11" t="n">
        <x:f>IF(H103="PENDING","",IF(H103="PASS",1,0))</x:f>
        <x:v>1</x:v>
      </x:c>
    </x:row>
    <x:row r="104" ht="55" customHeight="1">
      <x:c r="A104" s="11" t="str">
        <x:v>t098</x:v>
      </x:c>
      <x:c r="B104" s="11" t="str">
        <x:v>I am curious about your upcoming sale dates. My birthday is around the corner, and I want to indulge a bit!</x:v>
      </x:c>
      <x:c r="C104" s="11" t="str">
        <x:v>other</x:v>
      </x:c>
      <x:c r="D104" s="12" t="str">
        <x:v>other</x:v>
      </x:c>
      <x:c r="E104" s="11" t="str">
        <x:v>other</x:v>
      </x:c>
      <x:c r="F104" s="11" t="str">
        <x:f>IF(D104="","PENDING",IF(E104=D104,"PASS","FAIL"))</x:f>
        <x:v>PASS</x:v>
      </x:c>
      <x:c r="G104" s="11" t="str">
        <x:v>other</x:v>
      </x:c>
      <x:c r="H104" s="11" t="str">
        <x:f>IF(D104="","PENDING",IF(G104=D104,"PASS","FAIL"))</x:f>
        <x:v>PASS</x:v>
      </x:c>
      <x:c r="I104" s="11" t="str">
        <x:f>IF(OR(F104="PENDING",H104="PENDING"),"PENDING",IF(F104="FAIL",IF(H104="PASS","WIN","STILL_FAIL"),IF(H104="FAIL","REGRESSION","STILL_PASS")))</x:f>
        <x:v>STILL_PASS</x:v>
      </x:c>
      <x:c r="J104" s="11" t="str"/>
      <x:c r="K104" s="11" t="str"/>
      <x:c r="L104" s="12" t="str"/>
      <x:c r="M104" s="12" t="str"/>
      <x:c r="N104" s="11" t="n">
        <x:f>IF(F104="PENDING","",IF(F104="PASS",1,0))</x:f>
        <x:v>1</x:v>
      </x:c>
      <x:c r="O104" s="11" t="n">
        <x:f>IF(H104="PENDING","",IF(H104="PASS",1,0))</x:f>
        <x:v>1</x:v>
      </x:c>
    </x:row>
    <x:row r="105" ht="55" customHeight="1">
      <x:c r="A105" s="11" t="str">
        <x:v>t099</x:v>
      </x:c>
      <x:c r="B105" s="11" t="str">
        <x:v>Hey, any idea when you’re having your next sale? My birthday is soon, and I'm eager to go all out on some shopping.</x:v>
      </x:c>
      <x:c r="C105" s="11" t="str">
        <x:v>other</x:v>
      </x:c>
      <x:c r="D105" s="12" t="str">
        <x:v>other</x:v>
      </x:c>
      <x:c r="E105" s="11" t="str">
        <x:v>other</x:v>
      </x:c>
      <x:c r="F105" s="11" t="str">
        <x:f>IF(D105="","PENDING",IF(E105=D105,"PASS","FAIL"))</x:f>
        <x:v>PASS</x:v>
      </x:c>
      <x:c r="G105" s="11" t="str">
        <x:v>other</x:v>
      </x:c>
      <x:c r="H105" s="11" t="str">
        <x:f>IF(D105="","PENDING",IF(G105=D105,"PASS","FAIL"))</x:f>
        <x:v>PASS</x:v>
      </x:c>
      <x:c r="I105" s="11" t="str">
        <x:f>IF(OR(F105="PENDING",H105="PENDING"),"PENDING",IF(F105="FAIL",IF(H105="PASS","WIN","STILL_FAIL"),IF(H105="FAIL","REGRESSION","STILL_PASS")))</x:f>
        <x:v>STILL_PASS</x:v>
      </x:c>
      <x:c r="J105" s="11" t="str"/>
      <x:c r="K105" s="11" t="str"/>
      <x:c r="L105" s="12" t="str"/>
      <x:c r="M105" s="12" t="str"/>
      <x:c r="N105" s="11" t="n">
        <x:f>IF(F105="PENDING","",IF(F105="PASS",1,0))</x:f>
        <x:v>1</x:v>
      </x:c>
      <x:c r="O105" s="11" t="n">
        <x:f>IF(H105="PENDING","",IF(H105="PASS",1,0))</x:f>
        <x:v>1</x:v>
      </x:c>
    </x:row>
  </x:sheetData>
  <x:conditionalFormatting sqref="F6:F105">
    <x:cfRule type="containsText" dxfId="0" priority="1" operator="containsText" text="FAIL"/>
  </x:conditionalFormatting>
  <x:conditionalFormatting sqref="H6:H105">
    <x:cfRule type="containsText" dxfId="1" priority="2" operator="containsText" text="FAIL"/>
  </x:conditionalFormatting>
  <x:conditionalFormatting sqref="I6:I105">
    <x:cfRule type="containsText" dxfId="2" priority="3" operator="containsText" text="REGRESSION"/>
  </x:conditionalFormatting>
  <x:dataValidations count="2">
    <x:dataValidation type="list" sqref="D6:D105">
      <x:formula1>"order_status,refund_request,product_issue,account_help,other"</x:formula1>
    </x:dataValidation>
    <x:dataValidation type="list" sqref="M6:M105">
      <x:formula1>"Approved,Needs 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470559b3f349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4" hidden="0" customWidth="1"/>
    <x:col min="2" max="2" width="53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Fresh experiment failure mechanisms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7" t="str">
        <x:v>Mechanism</x:v>
      </x:c>
      <x:c r="B4" s="7" t="str">
        <x:v>Definition</x:v>
      </x:c>
      <x:c r="C4" s="7" t="str">
        <x:v>Baseline failures</x:v>
      </x:c>
      <x:c r="D4" s="7" t="str">
        <x:v>Focused failures</x:v>
      </x:c>
      <x:c r="E4" s="7" t="str">
        <x:v>Examples</x:v>
      </x:c>
      <x:c r="F4" s="7" t="str">
        <x:v>Next action</x:v>
      </x:c>
    </x:row>
    <x:row r="5" ht="100" customHeight="1">
      <x:c r="A5" s="11" t="str">
        <x:v>Requested remedy overrides underlying problem</x:v>
      </x:c>
      <x:c r="B5" s="11" t="str">
        <x:v>Refund wording overrides non-delivery or damaged-product routing.</x:v>
      </x:c>
      <x:c r="C5" s="11" t="n">
        <x:f>COUNTIFS('Fresh evaluation'!$J$6:$J$105,A5,'Fresh evaluation'!$F$6:$F$105,"FAIL")</x:f>
        <x:v>7</x:v>
      </x:c>
      <x:c r="D5" s="11" t="n">
        <x:f>COUNTIFS('Fresh evaluation'!$J$6:$J$105,A5,'Fresh evaluation'!$H$6:$H$105,"FAIL")</x:f>
        <x:v>1</x:v>
      </x:c>
      <x:c r="E5" s="11" t="str">
        <x:v>t004-t007; t044-t047</x:v>
      </x:c>
      <x:c r="F5" s="11" t="str">
        <x:v>Keep the tested routing-precedence rule; it fixed all eight original failures.</x:v>
      </x:c>
    </x:row>
    <x:row r="6" ht="100" customHeight="1">
      <x:c r="A6" s="11" t="str">
        <x:v>Refund payment confused with order delivery</x:v>
      </x:c>
      <x:c r="B6" s="11" t="str">
        <x:v>Refund arrival or cancellation wording is treated as an undelivered order.</x:v>
      </x:c>
      <x:c r="C6" s="11" t="n">
        <x:f>COUNTIFS('Fresh evaluation'!$J$6:$J$105,A6,'Fresh evaluation'!$F$6:$F$105,"FAIL")</x:f>
        <x:v>0</x:v>
      </x:c>
      <x:c r="D6" s="11" t="n">
        <x:f>COUNTIFS('Fresh evaluation'!$J$6:$J$105,A6,'Fresh evaluation'!$H$6:$H$105,"FAIL")</x:f>
        <x:v>6</x:v>
      </x:c>
      <x:c r="E6" s="11" t="str">
        <x:v>t024-t029</x:v>
      </x:c>
      <x:c r="F6" s="11" t="str">
        <x:v>Next test: distinguish a refund payment not arriving from an order not arriving. Keep cancellation/refund requests in refund_request when non-delivery is not stated.</x:v>
      </x:c>
    </x:row>
    <x:row r="7">
      <x:c r="A7" s="2"/>
      <x:c r="B7" s="2"/>
      <x:c r="C7" s="2"/>
      <x:c r="D7" s="2"/>
      <x:c r="E7" s="2"/>
      <x:c r="F7" s="2"/>
    </x:row>
    <x:row r="8">
      <x:c r="A8" s="2" t="str">
        <x:v>AI-assisted observations cover eight baseline errors and six fresh regressions. Participant approval remains pending.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32" customHeight="1">
      <x:c r="A10" s="7" t="str">
        <x:v>ID</x:v>
      </x:c>
      <x:c r="B10" s="7" t="str">
        <x:v>Query</x:v>
      </x:c>
      <x:c r="C10" s="7" t="str">
        <x:v>Reference</x:v>
      </x:c>
      <x:c r="D10" s="7" t="str">
        <x:v>Baseline</x:v>
      </x:c>
      <x:c r="E10" s="7" t="str">
        <x:v>Revised</x:v>
      </x:c>
      <x:c r="F10" s="7" t="str">
        <x:v>AI-assisted observation</x:v>
      </x:c>
    </x:row>
    <x:row r="11" ht="70" customHeight="1">
      <x:c r="A11" s="11" t="str">
        <x:v>t004</x:v>
      </x:c>
      <x:c r="B11" s="11" t="str">
        <x:v>I never received my order and I want my money back.</x:v>
      </x:c>
      <x:c r="C11" s="11" t="str">
        <x:v>order_status</x:v>
      </x:c>
      <x:c r="D11" s="11" t="str">
        <x:v>refund_request</x:v>
      </x:c>
      <x:c r="E11" s="11" t="str">
        <x:v>order_status</x:v>
      </x:c>
      <x:c r="F11" s="11" t="str">
        <x:v>The customer requests money back after non-delivery. The prediction follows the remedy; the supplied routing policy assigns non-delivery to order_status.</x:v>
      </x:c>
    </x:row>
    <x:row r="12" ht="70" customHeight="1">
      <x:c r="A12" s="11" t="str">
        <x:v>t005</x:v>
      </x:c>
      <x:c r="B12" s="11" t="str">
        <x:v>I still haven't gotten my order, and I demand a refund immediately.</x:v>
      </x:c>
      <x:c r="C12" s="11" t="str">
        <x:v>order_status</x:v>
      </x:c>
      <x:c r="D12" s="11" t="str">
        <x:v>refund_request</x:v>
      </x:c>
      <x:c r="E12" s="11" t="str">
        <x:v>order_status</x:v>
      </x:c>
      <x:c r="F12" s="11" t="str">
        <x:v>The customer requests money back after non-delivery. The prediction follows the remedy; the supplied routing policy assigns non-delivery to order_status.</x:v>
      </x:c>
    </x:row>
    <x:row r="13" ht="70" customHeight="1">
      <x:c r="A13" s="11" t="str">
        <x:v>t006</x:v>
      </x:c>
      <x:c r="B13" s="11" t="str">
        <x:v>Can someone please help me? My order hasn't arrived, and I'm looking for a full refund.</x:v>
      </x:c>
      <x:c r="C13" s="11" t="str">
        <x:v>order_status</x:v>
      </x:c>
      <x:c r="D13" s="11" t="str">
        <x:v>refund_request</x:v>
      </x:c>
      <x:c r="E13" s="11" t="str">
        <x:v>order_status</x:v>
      </x:c>
      <x:c r="F13" s="11" t="str">
        <x:v>The customer requests money back after non-delivery. The prediction follows the remedy; the supplied routing policy assigns non-delivery to order_status.</x:v>
      </x:c>
    </x:row>
    <x:row r="14" ht="70" customHeight="1">
      <x:c r="A14" s="11" t="str">
        <x:v>t007</x:v>
      </x:c>
      <x:c r="B14" s="11" t="str">
        <x:v>I can't believe this! My order is missing, and I want my money back right away.</x:v>
      </x:c>
      <x:c r="C14" s="11" t="str">
        <x:v>order_status</x:v>
      </x:c>
      <x:c r="D14" s="11" t="str">
        <x:v>refund_request</x:v>
      </x:c>
      <x:c r="E14" s="11" t="str">
        <x:v>order_status</x:v>
      </x:c>
      <x:c r="F14" s="11" t="str">
        <x:v>The customer requests money back after non-delivery. The prediction follows the remedy; the supplied routing policy assigns non-delivery to order_status.</x:v>
      </x:c>
    </x:row>
    <x:row r="15" ht="70" customHeight="1">
      <x:c r="A15" s="11" t="str">
        <x:v>t024</x:v>
      </x:c>
      <x:c r="B15" s="11" t="str">
        <x:v>Where is my refund? I returned the item two weeks ago and still nothing on my card.</x:v>
      </x:c>
      <x:c r="C15" s="11" t="str">
        <x:v>refund_request</x:v>
      </x:c>
      <x:c r="D15" s="11" t="str">
        <x:v>refund_request</x:v>
      </x:c>
      <x:c r="E15" s="11" t="str">
        <x:v>order_status</x:v>
      </x:c>
      <x:c r="F15" s="11" t="str">
        <x:v>The customer has returned an item and is waiting for money to reach their card. This is refund payment status, not order delivery status.</x:v>
      </x:c>
    </x:row>
    <x:row r="16" ht="70" customHeight="1">
      <x:c r="A16" s="11" t="str">
        <x:v>t025</x:v>
      </x:c>
      <x:c r="B16" s="11" t="str">
        <x:v>I'm really frustrated right now! I sent back my order, number 2345, two weeks ago, and I've yet to see my refund hit my credit card. What’s the hold-up?</x:v>
      </x:c>
      <x:c r="C16" s="11" t="str">
        <x:v>refund_request</x:v>
      </x:c>
      <x:c r="D16" s="11" t="str">
        <x:v>refund_request</x:v>
      </x:c>
      <x:c r="E16" s="11" t="str">
        <x:v>order_status</x:v>
      </x:c>
      <x:c r="F16" s="11" t="str">
        <x:v>The customer has returned an item and is waiting for money to reach their card. This is refund payment status, not order delivery status.</x:v>
      </x:c>
    </x:row>
    <x:row r="17" ht="70" customHeight="1">
      <x:c r="A17" s="11" t="str">
        <x:v>t026</x:v>
      </x:c>
      <x:c r="B17" s="11" t="str">
        <x:v>Hi there, I hope you’re doing well. I wanted to inquire about my refund for the item I returned (order #9876) two weeks ago; unfortunately, it hasn’t appeared on my card yet. Could you please help me with this?</x:v>
      </x:c>
      <x:c r="C17" s="11" t="str">
        <x:v>refund_request</x:v>
      </x:c>
      <x:c r="D17" s="11" t="str">
        <x:v>refund_request</x:v>
      </x:c>
      <x:c r="E17" s="11" t="str">
        <x:v>order_status</x:v>
      </x:c>
      <x:c r="F17" s="11" t="str">
        <x:v>The customer has returned an item and is waiting for money to reach their card. This is refund payment status, not order delivery status.</x:v>
      </x:c>
    </x:row>
    <x:row r="18" ht="70" customHeight="1">
      <x:c r="A18" s="11" t="str">
        <x:v>t027</x:v>
      </x:c>
      <x:c r="B18" s="11" t="str">
        <x:v>Hey, can someone tell me what's going on with my refund? It’s been two weeks since I returned the item (order #5432) and I still haven't seen anything on my card. This is getting ridiculous!</x:v>
      </x:c>
      <x:c r="C18" s="11" t="str">
        <x:v>refund_request</x:v>
      </x:c>
      <x:c r="D18" s="11" t="str">
        <x:v>refund_request</x:v>
      </x:c>
      <x:c r="E18" s="11" t="str">
        <x:v>order_status</x:v>
      </x:c>
      <x:c r="F18" s="11" t="str">
        <x:v>The customer has returned an item and is waiting for money to reach their card. This is refund payment status, not order delivery status.</x:v>
      </x:c>
    </x:row>
    <x:row r="19" ht="70" customHeight="1">
      <x:c r="A19" s="11" t="str">
        <x:v>t028</x:v>
      </x:c>
      <x:c r="B19" s="11" t="str">
        <x:v>Please cancel order 99021 and refund my card. I no longer need it.</x:v>
      </x:c>
      <x:c r="C19" s="11" t="str">
        <x:v>refund_request</x:v>
      </x:c>
      <x:c r="D19" s="11" t="str">
        <x:v>refund_request</x:v>
      </x:c>
      <x:c r="E19" s="11" t="str">
        <x:v>order_status</x:v>
      </x:c>
      <x:c r="F19" s="11" t="str">
        <x:v>The customer explicitly requests cancellation and a refund because the order is no longer needed. There is no claim that the order never arrived.</x:v>
      </x:c>
    </x:row>
    <x:row r="20" ht="70" customHeight="1">
      <x:c r="A20" s="11" t="str">
        <x:v>t029</x:v>
      </x:c>
      <x:c r="B20" s="11" t="str">
        <x:v>I'm really frustrated right now. Can you please cancel my order 99021 and process a refund to my card? I don't need this anymore.</x:v>
      </x:c>
      <x:c r="C20" s="11" t="str">
        <x:v>refund_request</x:v>
      </x:c>
      <x:c r="D20" s="11" t="str">
        <x:v>refund_request</x:v>
      </x:c>
      <x:c r="E20" s="11" t="str">
        <x:v>order_status</x:v>
      </x:c>
      <x:c r="F20" s="11" t="str">
        <x:v>The customer explicitly requests cancellation and a refund because the order is no longer needed. There is no claim that the order never arrived.</x:v>
      </x:c>
    </x:row>
    <x:row r="21" ht="70" customHeight="1">
      <x:c r="A21" s="11" t="str">
        <x:v>t044</x:v>
      </x:c>
      <x:c r="B21" s="11" t="str">
        <x:v>My laptop arrived damaged and I want a full refund, not a replacement.</x:v>
      </x:c>
      <x:c r="C21" s="11" t="str">
        <x:v>product_issue</x:v>
      </x:c>
      <x:c r="D21" s="11" t="str">
        <x:v>refund_request</x:v>
      </x:c>
      <x:c r="E21" s="11" t="str">
        <x:v>product_issue</x:v>
      </x:c>
      <x:c r="F21" s="11" t="str">
        <x:v>The ticket describes a damaged or broken laptop and requests a refund. The prediction follows the refund request; the supplied routing policy assigns the damaged item to product_issue.</x:v>
      </x:c>
    </x:row>
    <x:row r="22" ht="70" customHeight="1">
      <x:c r="A22" s="11" t="str">
        <x:v>t045</x:v>
      </x:c>
      <x:c r="B22" s="11" t="str">
        <x:v>I received my laptop in awful condition and I'm not interested in a replacement. I just want my money back, please.</x:v>
      </x:c>
      <x:c r="C22" s="11" t="str">
        <x:v>product_issue</x:v>
      </x:c>
      <x:c r="D22" s="11" t="str">
        <x:v>refund_request</x:v>
      </x:c>
      <x:c r="E22" s="11" t="str">
        <x:v>product_issue</x:v>
      </x:c>
      <x:c r="F22" s="11" t="str">
        <x:v>The ticket describes a damaged or broken laptop and requests a refund. The prediction follows the refund request; the supplied routing policy assigns the damaged item to product_issue.</x:v>
      </x:c>
    </x:row>
    <x:row r="23" ht="70" customHeight="1">
      <x:c r="A23" s="11" t="str">
        <x:v>t046</x:v>
      </x:c>
      <x:c r="B23" s="11" t="str">
        <x:v>Hey, my laptop showed up damaged, and I would prefer to get a full refund instead of receiving a new one.</x:v>
      </x:c>
      <x:c r="C23" s="11" t="str">
        <x:v>product_issue</x:v>
      </x:c>
      <x:c r="D23" s="11" t="str">
        <x:v>refund_request</x:v>
      </x:c>
      <x:c r="E23" s="11" t="str">
        <x:v>product_issue</x:v>
      </x:c>
      <x:c r="F23" s="11" t="str">
        <x:v>The ticket describes a damaged or broken laptop and requests a refund. The prediction follows the refund request; the supplied routing policy assigns the damaged item to product_issue.</x:v>
      </x:c>
    </x:row>
    <x:row r="24" ht="70" customHeight="1">
      <x:c r="A24" s="11" t="str">
        <x:v>t047</x:v>
      </x:c>
      <x:c r="B24" s="11" t="str">
        <x:v>The laptop I ordered is broken, and I refuse to accept a replacement. I simply want a complete refund.</x:v>
      </x:c>
      <x:c r="C24" s="11" t="str">
        <x:v>product_issue</x:v>
      </x:c>
      <x:c r="D24" s="11" t="str">
        <x:v>refund_request</x:v>
      </x:c>
      <x:c r="E24" s="11" t="str">
        <x:v>product_issue</x:v>
      </x:c>
      <x:c r="F24" s="11" t="str">
        <x:v>The ticket describes a damaged or broken laptop and requests a refund. The prediction follows the refund request; the supplied routing policy assigns the damaged item to product_issue.</x:v>
      </x:c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60" hidden="0" customWidth="1"/>
    <x:col min="3" max="3" width="21" hidden="0" customWidth="1"/>
    <x:col min="4" max="4" width="21" hidden="0" customWidth="1"/>
    <x:col min="5" max="5" width="21" hidden="0" customWidth="1"/>
    <x:col min="6" max="6" width="13" hidden="0" customWidth="1"/>
    <x:col min="7" max="7" width="23" hidden="0" customWidth="1"/>
    <x:col min="8" max="8" width="15" hidden="0" customWidth="1"/>
    <x:col min="9" max="9" width="15" hidden="0" customWidth="1"/>
    <x:col min="10" max="10" width="34" hidden="0" customWidth="1"/>
    <x:col min="11" max="11" width="65" hidden="0" customWidth="1"/>
    <x:col min="12" max="12" width="40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Fresh LangSmith ticket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Source: actual LangSmith baseline and focused experiments. Same 100-ticket dataset. Model gpt-4o-mini; temperature 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Amber columns are participant inputs. Reviewed labels start from source policy. Blank approval means pending.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0" customHeight="1">
      <x:c r="A5" s="7" t="str">
        <x:v>ID</x:v>
      </x:c>
      <x:c r="B5" s="7" t="str">
        <x:v>Customer query</x:v>
      </x:c>
      <x:c r="C5" s="7" t="str">
        <x:v>Source intent</x:v>
      </x:c>
      <x:c r="D5" s="7" t="str">
        <x:v>Reviewed intent</x:v>
      </x:c>
      <x:c r="E5" s="7" t="str">
        <x:v>Fresh baseline prediction</x:v>
      </x:c>
      <x:c r="F5" s="7" t="str">
        <x:v>Baseline result</x:v>
      </x:c>
      <x:c r="G5" s="7" t="str">
        <x:v>Focused prediction</x:v>
      </x:c>
      <x:c r="H5" s="7" t="str">
        <x:v>Focused result</x:v>
      </x:c>
      <x:c r="I5" s="7" t="str">
        <x:v>Change</x:v>
      </x:c>
      <x:c r="J5" s="7" t="str">
        <x:v>AI draft failure category</x:v>
      </x:c>
      <x:c r="K5" s="7" t="str">
        <x:v>AI draft review note</x:v>
      </x:c>
      <x:c r="L5" s="7" t="str">
        <x:v>Participant notes</x:v>
      </x:c>
      <x:c r="M5" s="7" t="str">
        <x:v>Participant approval</x:v>
      </x:c>
      <x:c r="N5" s="7" t="str">
        <x:v>Baseline score</x:v>
      </x:c>
      <x:c r="O5" s="7" t="str">
        <x:v>Focused score</x:v>
      </x:c>
    </x:row>
    <x:row r="6" ht="55" customHeight="1">
      <x:c r="A6" s="11" t="str">
        <x:v>t000</x:v>
      </x:c>
      <x:c r="B6" s="11" t="str">
        <x:v>Hi, I ordered a blender 5 days ago and the tracking page hasn't updated. Can you tell me where it is?</x:v>
      </x:c>
      <x:c r="C6" s="11" t="str">
        <x:v>order_status</x:v>
      </x:c>
      <x:c r="D6" s="12" t="str">
        <x:v>order_status</x:v>
      </x:c>
      <x:c r="E6" s="11" t="str">
        <x:v>order_status</x:v>
      </x:c>
      <x:c r="F6" s="11" t="str">
        <x:f>IF(D6="","PENDING",IF(E6=D6,"PASS","FAIL"))</x:f>
        <x:v>PASS</x:v>
      </x:c>
      <x:c r="G6" s="11" t="str">
        <x:v>order_status</x:v>
      </x:c>
      <x:c r="H6" s="11" t="str">
        <x:f>IF(D6="","PENDING",IF(G6=D6,"PASS","FAIL"))</x:f>
        <x:v>PASS</x:v>
      </x:c>
      <x:c r="I6" s="11" t="str">
        <x:f>IF(OR(F6="PENDING",H6="PENDING"),"PENDING",IF(F6="FAIL",IF(H6="PASS","WIN","STILL_FAIL"),IF(H6="FAIL","REGRESSION","STILL_PASS")))</x:f>
        <x:v>STILL_PASS</x:v>
      </x:c>
      <x:c r="J6" s="11" t="str"/>
      <x:c r="K6" s="11" t="str"/>
      <x:c r="L6" s="12" t="str"/>
      <x:c r="M6" s="12" t="str"/>
      <x:c r="N6" s="11" t="n">
        <x:f>IF(F6="PENDING","",IF(F6="PASS",1,0))</x:f>
        <x:v>1</x:v>
      </x:c>
      <x:c r="O6" s="11" t="n">
        <x:f>IF(H6="PENDING","",IF(H6="PASS",1,0))</x:f>
        <x:v>1</x:v>
      </x:c>
    </x:row>
    <x:row r="7" ht="55" customHeight="1">
      <x:c r="A7" s="11" t="str">
        <x:v>t001</x:v>
      </x:c>
      <x:c r="B7" s="11" t="str">
        <x:v>Hello, I placed an order for a blender five days back, but the tracking information hasn't changed at all. Can you please provide an update on its whereabouts?</x:v>
      </x:c>
      <x:c r="C7" s="11" t="str">
        <x:v>order_status</x:v>
      </x:c>
      <x:c r="D7" s="12" t="str">
        <x:v>order_status</x:v>
      </x:c>
      <x:c r="E7" s="11" t="str">
        <x:v>order_status</x:v>
      </x:c>
      <x:c r="F7" s="11" t="str">
        <x:f>IF(D7="","PENDING",IF(E7=D7,"PASS","FAIL"))</x:f>
        <x:v>PASS</x:v>
      </x:c>
      <x:c r="G7" s="11" t="str">
        <x:v>order_status</x:v>
      </x:c>
      <x:c r="H7" s="11" t="str">
        <x:f>IF(D7="","PENDING",IF(G7=D7,"PASS","FAIL"))</x:f>
        <x:v>PASS</x:v>
      </x:c>
      <x:c r="I7" s="11" t="str">
        <x:f>IF(OR(F7="PENDING",H7="PENDING"),"PENDING",IF(F7="FAIL",IF(H7="PASS","WIN","STILL_FAIL"),IF(H7="FAIL","REGRESSION","STILL_PASS")))</x:f>
        <x:v>STILL_PASS</x:v>
      </x:c>
      <x:c r="J7" s="11" t="str"/>
      <x:c r="K7" s="11" t="str"/>
      <x:c r="L7" s="12" t="str"/>
      <x:c r="M7" s="12" t="str"/>
      <x:c r="N7" s="11" t="n">
        <x:f>IF(F7="PENDING","",IF(F7="PASS",1,0))</x:f>
        <x:v>1</x:v>
      </x:c>
      <x:c r="O7" s="11" t="n">
        <x:f>IF(H7="PENDING","",IF(H7="PASS",1,0))</x:f>
        <x:v>1</x:v>
      </x:c>
    </x:row>
    <x:row r="8" ht="55" customHeight="1">
      <x:c r="A8" s="11" t="str">
        <x:v>t002</x:v>
      </x:c>
      <x:c r="B8" s="11" t="str">
        <x:v>Hey, I ordered a blender about five days ago, and the tracking hasn’t shown any progress. What’s going on with my order?</x:v>
      </x:c>
      <x:c r="C8" s="11" t="str">
        <x:v>order_status</x:v>
      </x:c>
      <x:c r="D8" s="12" t="str">
        <x:v>order_status</x:v>
      </x:c>
      <x:c r="E8" s="11" t="str">
        <x:v>order_status</x:v>
      </x:c>
      <x:c r="F8" s="11" t="str">
        <x:f>IF(D8="","PENDING",IF(E8=D8,"PASS","FAIL"))</x:f>
        <x:v>PASS</x:v>
      </x:c>
      <x:c r="G8" s="11" t="str">
        <x:v>order_status</x:v>
      </x:c>
      <x:c r="H8" s="11" t="str">
        <x:f>IF(D8="","PENDING",IF(G8=D8,"PASS","FAIL"))</x:f>
        <x:v>PASS</x:v>
      </x:c>
      <x:c r="I8" s="11" t="str">
        <x:f>IF(OR(F8="PENDING",H8="PENDING"),"PENDING",IF(F8="FAIL",IF(H8="PASS","WIN","STILL_FAIL"),IF(H8="FAIL","REGRESSION","STILL_PASS")))</x:f>
        <x:v>STILL_PASS</x:v>
      </x:c>
      <x:c r="J8" s="11" t="str"/>
      <x:c r="K8" s="11" t="str"/>
      <x:c r="L8" s="12" t="str"/>
      <x:c r="M8" s="12" t="str"/>
      <x:c r="N8" s="11" t="n">
        <x:f>IF(F8="PENDING","",IF(F8="PASS",1,0))</x:f>
        <x:v>1</x:v>
      </x:c>
      <x:c r="O8" s="11" t="n">
        <x:f>IF(H8="PENDING","",IF(H8="PASS",1,0))</x:f>
        <x:v>1</x:v>
      </x:c>
    </x:row>
    <x:row r="9" ht="55" customHeight="1">
      <x:c r="A9" s="11" t="str">
        <x:v>t003</x:v>
      </x:c>
      <x:c r="B9" s="11" t="str">
        <x:v>Hi there, it’s been five days since I ordered my blender, and the tracking status is still the same. Could you let me know what's happening with it?</x:v>
      </x:c>
      <x:c r="C9" s="11" t="str">
        <x:v>order_status</x:v>
      </x:c>
      <x:c r="D9" s="12" t="str">
        <x:v>order_status</x:v>
      </x:c>
      <x:c r="E9" s="11" t="str">
        <x:v>order_status</x:v>
      </x:c>
      <x:c r="F9" s="11" t="str">
        <x:f>IF(D9="","PENDING",IF(E9=D9,"PASS","FAIL"))</x:f>
        <x:v>PASS</x:v>
      </x:c>
      <x:c r="G9" s="11" t="str">
        <x:v>order_status</x:v>
      </x:c>
      <x:c r="H9" s="11" t="str">
        <x:f>IF(D9="","PENDING",IF(G9=D9,"PASS","FAIL"))</x:f>
        <x:v>PASS</x:v>
      </x:c>
      <x:c r="I9" s="11" t="str">
        <x:f>IF(OR(F9="PENDING",H9="PENDING"),"PENDING",IF(F9="FAIL",IF(H9="PASS","WIN","STILL_FAIL"),IF(H9="FAIL","REGRESSION","STILL_PASS")))</x:f>
        <x:v>STILL_PASS</x:v>
      </x:c>
      <x:c r="J9" s="11" t="str"/>
      <x:c r="K9" s="11" t="str"/>
      <x:c r="L9" s="12" t="str"/>
      <x:c r="M9" s="12" t="str"/>
      <x:c r="N9" s="11" t="n">
        <x:f>IF(F9="PENDING","",IF(F9="PASS",1,0))</x:f>
        <x:v>1</x:v>
      </x:c>
      <x:c r="O9" s="11" t="n">
        <x:f>IF(H9="PENDING","",IF(H9="PASS",1,0))</x:f>
        <x:v>1</x:v>
      </x:c>
    </x:row>
    <x:row r="10" ht="110" customHeight="1">
      <x:c r="A10" s="11" t="str">
        <x:v>t004</x:v>
      </x:c>
      <x:c r="B10" s="11" t="str">
        <x:v>I never received my order and I want my money back.</x:v>
      </x:c>
      <x:c r="C10" s="11" t="str">
        <x:v>order_status</x:v>
      </x:c>
      <x:c r="D10" s="12" t="str">
        <x:v>order_status</x:v>
      </x:c>
      <x:c r="E10" s="11" t="str">
        <x:v>refund_request</x:v>
      </x:c>
      <x:c r="F10" s="11" t="str">
        <x:f>IF(D10="","PENDING",IF(E10=D10,"PASS","FAIL"))</x:f>
        <x:v>FAIL</x:v>
      </x:c>
      <x:c r="G10" s="11" t="str">
        <x:v>order_status</x:v>
      </x:c>
      <x:c r="H10" s="11" t="str">
        <x:f>IF(D10="","PENDING",IF(G10=D10,"PASS","FAIL"))</x:f>
        <x:v>PASS</x:v>
      </x:c>
      <x:c r="I10" s="11" t="str">
        <x:f>IF(OR(F10="PENDING",H10="PENDING"),"PENDING",IF(F10="FAIL",IF(H10="PASS","WIN","STILL_FAIL"),IF(H10="FAIL","REGRESSION","STILL_PASS")))</x:f>
        <x:v>WIN</x:v>
      </x:c>
      <x:c r="J10" s="11" t="str">
        <x:v>Requested remedy overrides underlying problem</x:v>
      </x:c>
      <x:c r="K10" s="11" t="str">
        <x:v>The customer requests money back after non-delivery. The prediction follows the remedy; the supplied routing policy assigns non-delivery to order_status.</x:v>
      </x:c>
      <x:c r="L10" s="12" t="str">
        <x:v>did not receive product. Issue refund
Draft explanation: The customer asks for a refund after non-delivery. The baseline follows the requested remedy and predicts refund_request. Under the current routing policy, the underlying missing order makes order_status correct; the revised prediction matches that label.</x:v>
      </x:c>
      <x:c r="M10" s="12" t="str">
        <x:v>Approved</x:v>
      </x:c>
      <x:c r="N10" s="11" t="n">
        <x:f>IF(F10="PENDING","",IF(F10="PASS",1,0))</x:f>
        <x:v>0</x:v>
      </x:c>
      <x:c r="O10" s="11" t="n">
        <x:f>IF(H10="PENDING","",IF(H10="PASS",1,0))</x:f>
        <x:v>1</x:v>
      </x:c>
    </x:row>
    <x:row r="11" ht="110" customHeight="1">
      <x:c r="A11" s="11" t="str">
        <x:v>t005</x:v>
      </x:c>
      <x:c r="B11" s="11" t="str">
        <x:v>I still haven't gotten my order, and I demand a refund immediately.</x:v>
      </x:c>
      <x:c r="C11" s="11" t="str">
        <x:v>order_status</x:v>
      </x:c>
      <x:c r="D11" s="12" t="str">
        <x:v>order_status</x:v>
      </x:c>
      <x:c r="E11" s="11" t="str">
        <x:v>refund_request</x:v>
      </x:c>
      <x:c r="F11" s="11" t="str">
        <x:f>IF(D11="","PENDING",IF(E11=D11,"PASS","FAIL"))</x:f>
        <x:v>FAIL</x:v>
      </x:c>
      <x:c r="G11" s="11" t="str">
        <x:v>order_status</x:v>
      </x:c>
      <x:c r="H11" s="11" t="str">
        <x:f>IF(D11="","PENDING",IF(G11=D11,"PASS","FAIL"))</x:f>
        <x:v>PASS</x:v>
      </x:c>
      <x:c r="I11" s="11" t="str">
        <x:f>IF(OR(F11="PENDING",H11="PENDING"),"PENDING",IF(F11="FAIL",IF(H11="PASS","WIN","STILL_FAIL"),IF(H11="FAIL","REGRESSION","STILL_PASS")))</x:f>
        <x:v>WIN</x:v>
      </x:c>
      <x:c r="J11" s="11" t="str">
        <x:v>Requested remedy overrides underlying problem</x:v>
      </x:c>
      <x:c r="K11" s="11" t="str">
        <x:v>The customer requests money back after non-delivery. The prediction follows the remedy; the supplied routing policy assigns non-delivery to order_status.</x:v>
      </x:c>
      <x:c r="L11" s="12" t="str">
        <x:v>did not receive product. Issue refund
Draft explanation: The customer asks for a refund after non-delivery. The baseline follows the requested remedy and predicts refund_request. Under the current routing policy, the underlying missing order makes order_status correct; the revised prediction matches that label.</x:v>
      </x:c>
      <x:c r="M11" s="12" t="str">
        <x:v>Approved</x:v>
      </x:c>
      <x:c r="N11" s="11" t="n">
        <x:f>IF(F11="PENDING","",IF(F11="PASS",1,0))</x:f>
        <x:v>0</x:v>
      </x:c>
      <x:c r="O11" s="11" t="n">
        <x:f>IF(H11="PENDING","",IF(H11="PASS",1,0))</x:f>
        <x:v>1</x:v>
      </x:c>
    </x:row>
    <x:row r="12" ht="98" customHeight="1">
      <x:c r="A12" s="11" t="str">
        <x:v>t006</x:v>
      </x:c>
      <x:c r="B12" s="11" t="str">
        <x:v>Can someone please help me? My order hasn't arrived, and I'm looking for a full refund.</x:v>
      </x:c>
      <x:c r="C12" s="11" t="str">
        <x:v>order_status</x:v>
      </x:c>
      <x:c r="D12" s="12" t="str">
        <x:v>order_status</x:v>
      </x:c>
      <x:c r="E12" s="11" t="str">
        <x:v>refund_request</x:v>
      </x:c>
      <x:c r="F12" s="11" t="str">
        <x:f>IF(D12="","PENDING",IF(E12=D12,"PASS","FAIL"))</x:f>
        <x:v>FAIL</x:v>
      </x:c>
      <x:c r="G12" s="11" t="str">
        <x:v>order_status</x:v>
      </x:c>
      <x:c r="H12" s="11" t="str">
        <x:f>IF(D12="","PENDING",IF(G12=D12,"PASS","FAIL"))</x:f>
        <x:v>PASS</x:v>
      </x:c>
      <x:c r="I12" s="11" t="str">
        <x:f>IF(OR(F12="PENDING",H12="PENDING"),"PENDING",IF(F12="FAIL",IF(H12="PASS","WIN","STILL_FAIL"),IF(H12="FAIL","REGRESSION","STILL_PASS")))</x:f>
        <x:v>WIN</x:v>
      </x:c>
      <x:c r="J12" s="11" t="str">
        <x:v>Requested remedy overrides underlying problem</x:v>
      </x:c>
      <x:c r="K12" s="11" t="str">
        <x:v>The customer requests money back after non-delivery. The prediction follows the remedy; the supplied routing policy assigns non-delivery to order_status.</x:v>
      </x:c>
      <x:c r="L12" s="12" t="str">
        <x:v>delay, enroute, order status
Draft explanation: The customer asks for a refund after non-delivery. The baseline follows the requested remedy and predicts refund_request. Under the current routing policy, the underlying missing order makes order_status correct; the revised prediction matches that label.</x:v>
      </x:c>
      <x:c r="M12" s="12" t="str">
        <x:v>Approved</x:v>
      </x:c>
      <x:c r="N12" s="11" t="n">
        <x:f>IF(F12="PENDING","",IF(F12="PASS",1,0))</x:f>
        <x:v>0</x:v>
      </x:c>
      <x:c r="O12" s="11" t="n">
        <x:f>IF(H12="PENDING","",IF(H12="PASS",1,0))</x:f>
        <x:v>1</x:v>
      </x:c>
    </x:row>
    <x:row r="13" ht="55" customHeight="1">
      <x:c r="A13" s="11" t="str">
        <x:v>t007</x:v>
      </x:c>
      <x:c r="B13" s="11" t="str">
        <x:v>I can't believe this! My order is missing, and I want my money back right away.</x:v>
      </x:c>
      <x:c r="C13" s="11" t="str">
        <x:v>order_status</x:v>
      </x:c>
      <x:c r="D13" s="12" t="str">
        <x:v>order_status</x:v>
      </x:c>
      <x:c r="E13" s="11" t="str">
        <x:v>refund_request</x:v>
      </x:c>
      <x:c r="F13" s="11" t="str">
        <x:f>IF(D13="","PENDING",IF(E13=D13,"PASS","FAIL"))</x:f>
        <x:v>FAIL</x:v>
      </x:c>
      <x:c r="G13" s="11" t="str">
        <x:v>order_status</x:v>
      </x:c>
      <x:c r="H13" s="11" t="str">
        <x:f>IF(D13="","PENDING",IF(G13=D13,"PASS","FAIL"))</x:f>
        <x:v>PASS</x:v>
      </x:c>
      <x:c r="I13" s="11" t="str">
        <x:f>IF(OR(F13="PENDING",H13="PENDING"),"PENDING",IF(F13="FAIL",IF(H13="PASS","WIN","STILL_FAIL"),IF(H13="FAIL","REGRESSION","STILL_PASS")))</x:f>
        <x:v>WIN</x:v>
      </x:c>
      <x:c r="J13" s="11" t="str">
        <x:v>Requested remedy overrides underlying problem</x:v>
      </x:c>
      <x:c r="K13" s="11" t="str">
        <x:v>The customer requests money back after non-delivery. The prediction follows the remedy; the supplied routing policy assigns non-delivery to order_status.</x:v>
      </x:c>
      <x:c r="L13" s="12" t="str">
        <x:v>non-delivery. can issue refund due to delay</x:v>
      </x:c>
      <x:c r="M13" s="12" t="str">
        <x:v>Approved</x:v>
      </x:c>
      <x:c r="N13" s="11" t="n">
        <x:f>IF(F13="PENDING","",IF(F13="PASS",1,0))</x:f>
        <x:v>0</x:v>
      </x:c>
      <x:c r="O13" s="11" t="n">
        <x:f>IF(H13="PENDING","",IF(H13="PASS",1,0))</x:f>
        <x:v>1</x:v>
      </x:c>
    </x:row>
    <x:row r="14" ht="55" customHeight="1">
      <x:c r="A14" s="11" t="str">
        <x:v>t008</x:v>
      </x:c>
      <x:c r="B14" s="11" t="str">
        <x:v>Order shows delivered last Tuesday but it's not at my door, my neighbor's, or the mailroom. What now?</x:v>
      </x:c>
      <x:c r="C14" s="11" t="str">
        <x:v>order_status</x:v>
      </x:c>
      <x:c r="D14" s="12" t="str">
        <x:v>order_status</x:v>
      </x:c>
      <x:c r="E14" s="11" t="str">
        <x:v>order_status</x:v>
      </x:c>
      <x:c r="F14" s="11" t="str">
        <x:f>IF(D14="","PENDING",IF(E14=D14,"PASS","FAIL"))</x:f>
        <x:v>PASS</x:v>
      </x:c>
      <x:c r="G14" s="11" t="str">
        <x:v>order_status</x:v>
      </x:c>
      <x:c r="H14" s="11" t="str">
        <x:f>IF(D14="","PENDING",IF(G14=D14,"PASS","FAIL"))</x:f>
        <x:v>PASS</x:v>
      </x:c>
      <x:c r="I14" s="11" t="str">
        <x:f>IF(OR(F14="PENDING",H14="PENDING"),"PENDING",IF(F14="FAIL",IF(H14="PASS","WIN","STILL_FAIL"),IF(H14="FAIL","REGRESSION","STILL_PASS")))</x:f>
        <x:v>STILL_PASS</x:v>
      </x:c>
      <x:c r="J14" s="11" t="str"/>
      <x:c r="K14" s="11" t="str"/>
      <x:c r="L14" s="12" t="str"/>
      <x:c r="M14" s="12" t="str"/>
      <x:c r="N14" s="11" t="n">
        <x:f>IF(F14="PENDING","",IF(F14="PASS",1,0))</x:f>
        <x:v>1</x:v>
      </x:c>
      <x:c r="O14" s="11" t="n">
        <x:f>IF(H14="PENDING","",IF(H14="PASS",1,0))</x:f>
        <x:v>1</x:v>
      </x:c>
    </x:row>
    <x:row r="15" ht="55" customHeight="1">
      <x:c r="A15" s="11" t="str">
        <x:v>t009</x:v>
      </x:c>
      <x:c r="B15" s="11" t="str">
        <x:v>I see that my order was marked as delivered last Tuesday, but it hasn't arrived at my place, my neighbor's, or even in the mailroom. What should I do next?</x:v>
      </x:c>
      <x:c r="C15" s="11" t="str">
        <x:v>order_status</x:v>
      </x:c>
      <x:c r="D15" s="12" t="str">
        <x:v>order_status</x:v>
      </x:c>
      <x:c r="E15" s="11" t="str">
        <x:v>order_status</x:v>
      </x:c>
      <x:c r="F15" s="11" t="str">
        <x:f>IF(D15="","PENDING",IF(E15=D15,"PASS","FAIL"))</x:f>
        <x:v>PASS</x:v>
      </x:c>
      <x:c r="G15" s="11" t="str">
        <x:v>order_status</x:v>
      </x:c>
      <x:c r="H15" s="11" t="str">
        <x:f>IF(D15="","PENDING",IF(G15=D15,"PASS","FAIL"))</x:f>
        <x:v>PASS</x:v>
      </x:c>
      <x:c r="I15" s="11" t="str">
        <x:f>IF(OR(F15="PENDING",H15="PENDING"),"PENDING",IF(F15="FAIL",IF(H15="PASS","WIN","STILL_FAIL"),IF(H15="FAIL","REGRESSION","STILL_PASS")))</x:f>
        <x:v>STILL_PASS</x:v>
      </x:c>
      <x:c r="J15" s="11" t="str"/>
      <x:c r="K15" s="11" t="str"/>
      <x:c r="L15" s="12" t="str"/>
      <x:c r="M15" s="12" t="str"/>
      <x:c r="N15" s="11" t="n">
        <x:f>IF(F15="PENDING","",IF(F15="PASS",1,0))</x:f>
        <x:v>1</x:v>
      </x:c>
      <x:c r="O15" s="11" t="n">
        <x:f>IF(H15="PENDING","",IF(H15="PASS",1,0))</x:f>
        <x:v>1</x:v>
      </x:c>
    </x:row>
    <x:row r="16" ht="55" customHeight="1">
      <x:c r="A16" s="11" t="str">
        <x:v>t010</x:v>
      </x:c>
      <x:c r="B16" s="11" t="str">
        <x:v>According to the tracking, my package was delivered last Tuesday, yet I can't find it anywhere—neither at my doorstep nor at my neighbor's nor in the mailroom. What happens now?</x:v>
      </x:c>
      <x:c r="C16" s="11" t="str">
        <x:v>order_status</x:v>
      </x:c>
      <x:c r="D16" s="12" t="str">
        <x:v>order_status</x:v>
      </x:c>
      <x:c r="E16" s="11" t="str">
        <x:v>order_status</x:v>
      </x:c>
      <x:c r="F16" s="11" t="str">
        <x:f>IF(D16="","PENDING",IF(E16=D16,"PASS","FAIL"))</x:f>
        <x:v>PASS</x:v>
      </x:c>
      <x:c r="G16" s="11" t="str">
        <x:v>order_status</x:v>
      </x:c>
      <x:c r="H16" s="11" t="str">
        <x:f>IF(D16="","PENDING",IF(G16=D16,"PASS","FAIL"))</x:f>
        <x:v>PASS</x:v>
      </x:c>
      <x:c r="I16" s="11" t="str">
        <x:f>IF(OR(F16="PENDING",H16="PENDING"),"PENDING",IF(F16="FAIL",IF(H16="PASS","WIN","STILL_FAIL"),IF(H16="FAIL","REGRESSION","STILL_PASS")))</x:f>
        <x:v>STILL_PASS</x:v>
      </x:c>
      <x:c r="J16" s="11" t="str"/>
      <x:c r="K16" s="11" t="str"/>
      <x:c r="L16" s="12" t="str"/>
      <x:c r="M16" s="12" t="str"/>
      <x:c r="N16" s="11" t="n">
        <x:f>IF(F16="PENDING","",IF(F16="PASS",1,0))</x:f>
        <x:v>1</x:v>
      </x:c>
      <x:c r="O16" s="11" t="n">
        <x:f>IF(H16="PENDING","",IF(H16="PASS",1,0))</x:f>
        <x:v>1</x:v>
      </x:c>
    </x:row>
    <x:row r="17" ht="55" customHeight="1">
      <x:c r="A17" s="11" t="str">
        <x:v>t011</x:v>
      </x:c>
      <x:c r="B17" s="11" t="str">
        <x:v>So my order says it was delivered last Tuesday, but surprise, surprise! I haven't seen it at my door, my neighbor's, or even in the mailroom. What gives?</x:v>
      </x:c>
      <x:c r="C17" s="11" t="str">
        <x:v>order_status</x:v>
      </x:c>
      <x:c r="D17" s="12" t="str">
        <x:v>order_status</x:v>
      </x:c>
      <x:c r="E17" s="11" t="str">
        <x:v>order_status</x:v>
      </x:c>
      <x:c r="F17" s="11" t="str">
        <x:f>IF(D17="","PENDING",IF(E17=D17,"PASS","FAIL"))</x:f>
        <x:v>PASS</x:v>
      </x:c>
      <x:c r="G17" s="11" t="str">
        <x:v>order_status</x:v>
      </x:c>
      <x:c r="H17" s="11" t="str">
        <x:f>IF(D17="","PENDING",IF(G17=D17,"PASS","FAIL"))</x:f>
        <x:v>PASS</x:v>
      </x:c>
      <x:c r="I17" s="11" t="str">
        <x:f>IF(OR(F17="PENDING",H17="PENDING"),"PENDING",IF(F17="FAIL",IF(H17="PASS","WIN","STILL_FAIL"),IF(H17="FAIL","REGRESSION","STILL_PASS")))</x:f>
        <x:v>STILL_PASS</x:v>
      </x:c>
      <x:c r="J17" s="11" t="str"/>
      <x:c r="K17" s="11" t="str"/>
      <x:c r="L17" s="12" t="str"/>
      <x:c r="M17" s="12" t="str"/>
      <x:c r="N17" s="11" t="n">
        <x:f>IF(F17="PENDING","",IF(F17="PASS",1,0))</x:f>
        <x:v>1</x:v>
      </x:c>
      <x:c r="O17" s="11" t="n">
        <x:f>IF(H17="PENDING","",IF(H17="PASS",1,0))</x:f>
        <x:v>1</x:v>
      </x:c>
    </x:row>
    <x:row r="18" ht="55" customHeight="1">
      <x:c r="A18" s="11" t="str">
        <x:v>t012</x:v>
      </x:c>
      <x:c r="B18" s="11" t="str">
        <x:v>The website said 2-day shipping. It's been 9 days. Are you kidding me?</x:v>
      </x:c>
      <x:c r="C18" s="11" t="str">
        <x:v>order_status</x:v>
      </x:c>
      <x:c r="D18" s="12" t="str">
        <x:v>order_status</x:v>
      </x:c>
      <x:c r="E18" s="11" t="str">
        <x:v>order_status</x:v>
      </x:c>
      <x:c r="F18" s="11" t="str">
        <x:f>IF(D18="","PENDING",IF(E18=D18,"PASS","FAIL"))</x:f>
        <x:v>PASS</x:v>
      </x:c>
      <x:c r="G18" s="11" t="str">
        <x:v>order_status</x:v>
      </x:c>
      <x:c r="H18" s="11" t="str">
        <x:f>IF(D18="","PENDING",IF(G18=D18,"PASS","FAIL"))</x:f>
        <x:v>PASS</x:v>
      </x:c>
      <x:c r="I18" s="11" t="str">
        <x:f>IF(OR(F18="PENDING",H18="PENDING"),"PENDING",IF(F18="FAIL",IF(H18="PASS","WIN","STILL_FAIL"),IF(H18="FAIL","REGRESSION","STILL_PASS")))</x:f>
        <x:v>STILL_PASS</x:v>
      </x:c>
      <x:c r="J18" s="11" t="str"/>
      <x:c r="K18" s="11" t="str"/>
      <x:c r="L18" s="12" t="str"/>
      <x:c r="M18" s="12" t="str"/>
      <x:c r="N18" s="11" t="n">
        <x:f>IF(F18="PENDING","",IF(F18="PASS",1,0))</x:f>
        <x:v>1</x:v>
      </x:c>
      <x:c r="O18" s="11" t="n">
        <x:f>IF(H18="PENDING","",IF(H18="PASS",1,0))</x:f>
        <x:v>1</x:v>
      </x:c>
    </x:row>
    <x:row r="19" ht="55" customHeight="1">
      <x:c r="A19" s="11" t="str">
        <x:v>t013</x:v>
      </x:c>
      <x:c r="B19" s="11" t="str">
        <x:v>I was promised 2-day shipping, but it has now been 9 days! This is ridiculous!</x:v>
      </x:c>
      <x:c r="C19" s="11" t="str">
        <x:v>order_status</x:v>
      </x:c>
      <x:c r="D19" s="12" t="str">
        <x:v>order_status</x:v>
      </x:c>
      <x:c r="E19" s="11" t="str">
        <x:v>order_status</x:v>
      </x:c>
      <x:c r="F19" s="11" t="str">
        <x:f>IF(D19="","PENDING",IF(E19=D19,"PASS","FAIL"))</x:f>
        <x:v>PASS</x:v>
      </x:c>
      <x:c r="G19" s="11" t="str">
        <x:v>order_status</x:v>
      </x:c>
      <x:c r="H19" s="11" t="str">
        <x:f>IF(D19="","PENDING",IF(G19=D19,"PASS","FAIL"))</x:f>
        <x:v>PASS</x:v>
      </x:c>
      <x:c r="I19" s="11" t="str">
        <x:f>IF(OR(F19="PENDING",H19="PENDING"),"PENDING",IF(F19="FAIL",IF(H19="PASS","WIN","STILL_FAIL"),IF(H19="FAIL","REGRESSION","STILL_PASS")))</x:f>
        <x:v>STILL_PASS</x:v>
      </x:c>
      <x:c r="J19" s="11" t="str"/>
      <x:c r="K19" s="11" t="str"/>
      <x:c r="L19" s="12" t="str"/>
      <x:c r="M19" s="12" t="str"/>
      <x:c r="N19" s="11" t="n">
        <x:f>IF(F19="PENDING","",IF(F19="PASS",1,0))</x:f>
        <x:v>1</x:v>
      </x:c>
      <x:c r="O19" s="11" t="n">
        <x:f>IF(H19="PENDING","",IF(H19="PASS",1,0))</x:f>
        <x:v>1</x:v>
      </x:c>
    </x:row>
    <x:row r="20" ht="55" customHeight="1">
      <x:c r="A20" s="11" t="str">
        <x:v>t014</x:v>
      </x:c>
      <x:c r="B20" s="11" t="str">
        <x:v>I ordered my items expecting them to arrive in 2 days as your site said, but here I am 9 days later with no package. What is going on?</x:v>
      </x:c>
      <x:c r="C20" s="11" t="str">
        <x:v>order_status</x:v>
      </x:c>
      <x:c r="D20" s="12" t="str">
        <x:v>order_status</x:v>
      </x:c>
      <x:c r="E20" s="11" t="str">
        <x:v>order_status</x:v>
      </x:c>
      <x:c r="F20" s="11" t="str">
        <x:f>IF(D20="","PENDING",IF(E20=D20,"PASS","FAIL"))</x:f>
        <x:v>PASS</x:v>
      </x:c>
      <x:c r="G20" s="11" t="str">
        <x:v>order_status</x:v>
      </x:c>
      <x:c r="H20" s="11" t="str">
        <x:f>IF(D20="","PENDING",IF(G20=D20,"PASS","FAIL"))</x:f>
        <x:v>PASS</x:v>
      </x:c>
      <x:c r="I20" s="11" t="str">
        <x:f>IF(OR(F20="PENDING",H20="PENDING"),"PENDING",IF(F20="FAIL",IF(H20="PASS","WIN","STILL_FAIL"),IF(H20="FAIL","REGRESSION","STILL_PASS")))</x:f>
        <x:v>STILL_PASS</x:v>
      </x:c>
      <x:c r="J20" s="11" t="str"/>
      <x:c r="K20" s="11" t="str"/>
      <x:c r="L20" s="12" t="str"/>
      <x:c r="M20" s="12" t="str"/>
      <x:c r="N20" s="11" t="n">
        <x:f>IF(F20="PENDING","",IF(F20="PASS",1,0))</x:f>
        <x:v>1</x:v>
      </x:c>
      <x:c r="O20" s="11" t="n">
        <x:f>IF(H20="PENDING","",IF(H20="PASS",1,0))</x:f>
        <x:v>1</x:v>
      </x:c>
    </x:row>
    <x:row r="21" ht="55" customHeight="1">
      <x:c r="A21" s="11" t="str">
        <x:v>t015</x:v>
      </x:c>
      <x:c r="B21" s="11" t="str">
        <x:v>I thought I paid for 2-day shipping. It’s been 9 days already—what’s taking so long?</x:v>
      </x:c>
      <x:c r="C21" s="11" t="str">
        <x:v>order_status</x:v>
      </x:c>
      <x:c r="D21" s="12" t="str">
        <x:v>order_status</x:v>
      </x:c>
      <x:c r="E21" s="11" t="str">
        <x:v>order_status</x:v>
      </x:c>
      <x:c r="F21" s="11" t="str">
        <x:f>IF(D21="","PENDING",IF(E21=D21,"PASS","FAIL"))</x:f>
        <x:v>PASS</x:v>
      </x:c>
      <x:c r="G21" s="11" t="str">
        <x:v>order_status</x:v>
      </x:c>
      <x:c r="H21" s="11" t="str">
        <x:f>IF(D21="","PENDING",IF(G21=D21,"PASS","FAIL"))</x:f>
        <x:v>PASS</x:v>
      </x:c>
      <x:c r="I21" s="11" t="str">
        <x:f>IF(OR(F21="PENDING",H21="PENDING"),"PENDING",IF(F21="FAIL",IF(H21="PASS","WIN","STILL_FAIL"),IF(H21="FAIL","REGRESSION","STILL_PASS")))</x:f>
        <x:v>STILL_PASS</x:v>
      </x:c>
      <x:c r="J21" s="11" t="str"/>
      <x:c r="K21" s="11" t="str"/>
      <x:c r="L21" s="12" t="str"/>
      <x:c r="M21" s="12" t="str"/>
      <x:c r="N21" s="11" t="n">
        <x:f>IF(F21="PENDING","",IF(F21="PASS",1,0))</x:f>
        <x:v>1</x:v>
      </x:c>
      <x:c r="O21" s="11" t="n">
        <x:f>IF(H21="PENDING","",IF(H21="PASS",1,0))</x:f>
        <x:v>1</x:v>
      </x:c>
    </x:row>
    <x:row r="22" ht="55" customHeight="1">
      <x:c r="A22" s="11" t="str">
        <x:v>t016</x:v>
      </x:c>
      <x:c r="B22" s="11" t="str">
        <x:v>Tracking link in the email just spins forever. Order #88421.</x:v>
      </x:c>
      <x:c r="C22" s="11" t="str">
        <x:v>order_status</x:v>
      </x:c>
      <x:c r="D22" s="12" t="str">
        <x:v>order_status</x:v>
      </x:c>
      <x:c r="E22" s="11" t="str">
        <x:v>order_status</x:v>
      </x:c>
      <x:c r="F22" s="11" t="str">
        <x:f>IF(D22="","PENDING",IF(E22=D22,"PASS","FAIL"))</x:f>
        <x:v>PASS</x:v>
      </x:c>
      <x:c r="G22" s="11" t="str">
        <x:v>order_status</x:v>
      </x:c>
      <x:c r="H22" s="11" t="str">
        <x:f>IF(D22="","PENDING",IF(G22=D22,"PASS","FAIL"))</x:f>
        <x:v>PASS</x:v>
      </x:c>
      <x:c r="I22" s="11" t="str">
        <x:f>IF(OR(F22="PENDING",H22="PENDING"),"PENDING",IF(F22="FAIL",IF(H22="PASS","WIN","STILL_FAIL"),IF(H22="FAIL","REGRESSION","STILL_PASS")))</x:f>
        <x:v>STILL_PASS</x:v>
      </x:c>
      <x:c r="J22" s="11" t="str"/>
      <x:c r="K22" s="11" t="str"/>
      <x:c r="L22" s="12" t="str"/>
      <x:c r="M22" s="12" t="str"/>
      <x:c r="N22" s="11" t="n">
        <x:f>IF(F22="PENDING","",IF(F22="PASS",1,0))</x:f>
        <x:v>1</x:v>
      </x:c>
      <x:c r="O22" s="11" t="n">
        <x:f>IF(H22="PENDING","",IF(H22="PASS",1,0))</x:f>
        <x:v>1</x:v>
      </x:c>
    </x:row>
    <x:row r="23" ht="55" customHeight="1">
      <x:c r="A23" s="11" t="str">
        <x:v>t017</x:v>
      </x:c>
      <x:c r="B23" s="11" t="str">
        <x:v>The tracking link I received in the email just keeps loading endlessly. My order number is 88421.</x:v>
      </x:c>
      <x:c r="C23" s="11" t="str">
        <x:v>order_status</x:v>
      </x:c>
      <x:c r="D23" s="12" t="str">
        <x:v>order_status</x:v>
      </x:c>
      <x:c r="E23" s="11" t="str">
        <x:v>order_status</x:v>
      </x:c>
      <x:c r="F23" s="11" t="str">
        <x:f>IF(D23="","PENDING",IF(E23=D23,"PASS","FAIL"))</x:f>
        <x:v>PASS</x:v>
      </x:c>
      <x:c r="G23" s="11" t="str">
        <x:v>order_status</x:v>
      </x:c>
      <x:c r="H23" s="11" t="str">
        <x:f>IF(D23="","PENDING",IF(G23=D23,"PASS","FAIL"))</x:f>
        <x:v>PASS</x:v>
      </x:c>
      <x:c r="I23" s="11" t="str">
        <x:f>IF(OR(F23="PENDING",H23="PENDING"),"PENDING",IF(F23="FAIL",IF(H23="PASS","WIN","STILL_FAIL"),IF(H23="FAIL","REGRESSION","STILL_PASS")))</x:f>
        <x:v>STILL_PASS</x:v>
      </x:c>
      <x:c r="J23" s="11" t="str"/>
      <x:c r="K23" s="11" t="str"/>
      <x:c r="L23" s="12" t="str"/>
      <x:c r="M23" s="12" t="str"/>
      <x:c r="N23" s="11" t="n">
        <x:f>IF(F23="PENDING","",IF(F23="PASS",1,0))</x:f>
        <x:v>1</x:v>
      </x:c>
      <x:c r="O23" s="11" t="n">
        <x:f>IF(H23="PENDING","",IF(H23="PASS",1,0))</x:f>
        <x:v>1</x:v>
      </x:c>
    </x:row>
    <x:row r="24" ht="55" customHeight="1">
      <x:c r="A24" s="11" t="str">
        <x:v>t018</x:v>
      </x:c>
      <x:c r="B24" s="11" t="str">
        <x:v>I'm having a bit of trouble with the tracking link; it just keeps spinning and won't load. This is for order #88421.</x:v>
      </x:c>
      <x:c r="C24" s="11" t="str">
        <x:v>order_status</x:v>
      </x:c>
      <x:c r="D24" s="12" t="str">
        <x:v>order_status</x:v>
      </x:c>
      <x:c r="E24" s="11" t="str">
        <x:v>order_status</x:v>
      </x:c>
      <x:c r="F24" s="11" t="str">
        <x:f>IF(D24="","PENDING",IF(E24=D24,"PASS","FAIL"))</x:f>
        <x:v>PASS</x:v>
      </x:c>
      <x:c r="G24" s="11" t="str">
        <x:v>order_status</x:v>
      </x:c>
      <x:c r="H24" s="11" t="str">
        <x:f>IF(D24="","PENDING",IF(G24=D24,"PASS","FAIL"))</x:f>
        <x:v>PASS</x:v>
      </x:c>
      <x:c r="I24" s="11" t="str">
        <x:f>IF(OR(F24="PENDING",H24="PENDING"),"PENDING",IF(F24="FAIL",IF(H24="PASS","WIN","STILL_FAIL"),IF(H24="FAIL","REGRESSION","STILL_PASS")))</x:f>
        <x:v>STILL_PASS</x:v>
      </x:c>
      <x:c r="J24" s="11" t="str"/>
      <x:c r="K24" s="11" t="str"/>
      <x:c r="L24" s="12" t="str"/>
      <x:c r="M24" s="12" t="str"/>
      <x:c r="N24" s="11" t="n">
        <x:f>IF(F24="PENDING","",IF(F24="PASS",1,0))</x:f>
        <x:v>1</x:v>
      </x:c>
      <x:c r="O24" s="11" t="n">
        <x:f>IF(H24="PENDING","",IF(H24="PASS",1,0))</x:f>
        <x:v>1</x:v>
      </x:c>
    </x:row>
    <x:row r="25" ht="55" customHeight="1">
      <x:c r="A25" s="11" t="str">
        <x:v>t019</x:v>
      </x:c>
      <x:c r="B25" s="11" t="str">
        <x:v>The tracking URL in the email is stuck in a loop. Can you check on my order #88421?</x:v>
      </x:c>
      <x:c r="C25" s="11" t="str">
        <x:v>order_status</x:v>
      </x:c>
      <x:c r="D25" s="12" t="str">
        <x:v>order_status</x:v>
      </x:c>
      <x:c r="E25" s="11" t="str">
        <x:v>order_status</x:v>
      </x:c>
      <x:c r="F25" s="11" t="str">
        <x:f>IF(D25="","PENDING",IF(E25=D25,"PASS","FAIL"))</x:f>
        <x:v>PASS</x:v>
      </x:c>
      <x:c r="G25" s="11" t="str">
        <x:v>order_status</x:v>
      </x:c>
      <x:c r="H25" s="11" t="str">
        <x:f>IF(D25="","PENDING",IF(G25=D25,"PASS","FAIL"))</x:f>
        <x:v>PASS</x:v>
      </x:c>
      <x:c r="I25" s="11" t="str">
        <x:f>IF(OR(F25="PENDING",H25="PENDING"),"PENDING",IF(F25="FAIL",IF(H25="PASS","WIN","STILL_FAIL"),IF(H25="FAIL","REGRESSION","STILL_PASS")))</x:f>
        <x:v>STILL_PASS</x:v>
      </x:c>
      <x:c r="J25" s="11" t="str"/>
      <x:c r="K25" s="11" t="str"/>
      <x:c r="L25" s="12" t="str"/>
      <x:c r="M25" s="12" t="str"/>
      <x:c r="N25" s="11" t="n">
        <x:f>IF(F25="PENDING","",IF(F25="PASS",1,0))</x:f>
        <x:v>1</x:v>
      </x:c>
      <x:c r="O25" s="11" t="n">
        <x:f>IF(H25="PENDING","",IF(H25="PASS",1,0))</x:f>
        <x:v>1</x:v>
      </x:c>
    </x:row>
    <x:row r="26" ht="55" customHeight="1">
      <x:c r="A26" s="11" t="str">
        <x:v>t020</x:v>
      </x:c>
      <x:c r="B26" s="11" t="str">
        <x:v>I'd like to return the headphones I bought last week and get my money back. They're unopened.</x:v>
      </x:c>
      <x:c r="C26" s="11" t="str">
        <x:v>refund_request</x:v>
      </x:c>
      <x:c r="D26" s="12" t="str">
        <x:v>refund_request</x:v>
      </x:c>
      <x:c r="E26" s="11" t="str">
        <x:v>refund_request</x:v>
      </x:c>
      <x:c r="F26" s="11" t="str">
        <x:f>IF(D26="","PENDING",IF(E26=D26,"PASS","FAIL"))</x:f>
        <x:v>PASS</x:v>
      </x:c>
      <x:c r="G26" s="11" t="str">
        <x:v>refund_request</x:v>
      </x:c>
      <x:c r="H26" s="11" t="str">
        <x:f>IF(D26="","PENDING",IF(G26=D26,"PASS","FAIL"))</x:f>
        <x:v>PASS</x:v>
      </x:c>
      <x:c r="I26" s="11" t="str">
        <x:f>IF(OR(F26="PENDING",H26="PENDING"),"PENDING",IF(F26="FAIL",IF(H26="PASS","WIN","STILL_FAIL"),IF(H26="FAIL","REGRESSION","STILL_PASS")))</x:f>
        <x:v>STILL_PASS</x:v>
      </x:c>
      <x:c r="J26" s="11" t="str"/>
      <x:c r="K26" s="11" t="str"/>
      <x:c r="L26" s="12" t="str"/>
      <x:c r="M26" s="12" t="str"/>
      <x:c r="N26" s="11" t="n">
        <x:f>IF(F26="PENDING","",IF(F26="PASS",1,0))</x:f>
        <x:v>1</x:v>
      </x:c>
      <x:c r="O26" s="11" t="n">
        <x:f>IF(H26="PENDING","",IF(H26="PASS",1,0))</x:f>
        <x:v>1</x:v>
      </x:c>
    </x:row>
    <x:row r="27" ht="55" customHeight="1">
      <x:c r="A27" s="11" t="str">
        <x:v>t021</x:v>
      </x:c>
      <x:c r="B27" s="11" t="str">
        <x:v>I want to return the unopened headphones I purchased last week and get a refund. This is so frustrating!</x:v>
      </x:c>
      <x:c r="C27" s="11" t="str">
        <x:v>refund_request</x:v>
      </x:c>
      <x:c r="D27" s="12" t="str">
        <x:v>refund_request</x:v>
      </x:c>
      <x:c r="E27" s="11" t="str">
        <x:v>refund_request</x:v>
      </x:c>
      <x:c r="F27" s="11" t="str">
        <x:f>IF(D27="","PENDING",IF(E27=D27,"PASS","FAIL"))</x:f>
        <x:v>PASS</x:v>
      </x:c>
      <x:c r="G27" s="11" t="str">
        <x:v>refund_request</x:v>
      </x:c>
      <x:c r="H27" s="11" t="str">
        <x:f>IF(D27="","PENDING",IF(G27=D27,"PASS","FAIL"))</x:f>
        <x:v>PASS</x:v>
      </x:c>
      <x:c r="I27" s="11" t="str">
        <x:f>IF(OR(F27="PENDING",H27="PENDING"),"PENDING",IF(F27="FAIL",IF(H27="PASS","WIN","STILL_FAIL"),IF(H27="FAIL","REGRESSION","STILL_PASS")))</x:f>
        <x:v>STILL_PASS</x:v>
      </x:c>
      <x:c r="J27" s="11" t="str"/>
      <x:c r="K27" s="11" t="str"/>
      <x:c r="L27" s="12" t="str"/>
      <x:c r="M27" s="12" t="str"/>
      <x:c r="N27" s="11" t="n">
        <x:f>IF(F27="PENDING","",IF(F27="PASS",1,0))</x:f>
        <x:v>1</x:v>
      </x:c>
      <x:c r="O27" s="11" t="n">
        <x:f>IF(H27="PENDING","",IF(H27="PASS",1,0))</x:f>
        <x:v>1</x:v>
      </x:c>
    </x:row>
    <x:row r="28" ht="55" customHeight="1">
      <x:c r="A28" s="11" t="str">
        <x:v>t022</x:v>
      </x:c>
      <x:c r="B28" s="11" t="str">
        <x:v>Hello, I would like to initiate a return for the headphones I ordered last week. They are still in their original packaging, and I would appreciate a full refund. Thank you!</x:v>
      </x:c>
      <x:c r="C28" s="11" t="str">
        <x:v>refund_request</x:v>
      </x:c>
      <x:c r="D28" s="12" t="str">
        <x:v>refund_request</x:v>
      </x:c>
      <x:c r="E28" s="11" t="str">
        <x:v>refund_request</x:v>
      </x:c>
      <x:c r="F28" s="11" t="str">
        <x:f>IF(D28="","PENDING",IF(E28=D28,"PASS","FAIL"))</x:f>
        <x:v>PASS</x:v>
      </x:c>
      <x:c r="G28" s="11" t="str">
        <x:v>refund_request</x:v>
      </x:c>
      <x:c r="H28" s="11" t="str">
        <x:f>IF(D28="","PENDING",IF(G28=D28,"PASS","FAIL"))</x:f>
        <x:v>PASS</x:v>
      </x:c>
      <x:c r="I28" s="11" t="str">
        <x:f>IF(OR(F28="PENDING",H28="PENDING"),"PENDING",IF(F28="FAIL",IF(H28="PASS","WIN","STILL_FAIL"),IF(H28="FAIL","REGRESSION","STILL_PASS")))</x:f>
        <x:v>STILL_PASS</x:v>
      </x:c>
      <x:c r="J28" s="11" t="str"/>
      <x:c r="K28" s="11" t="str"/>
      <x:c r="L28" s="12" t="str"/>
      <x:c r="M28" s="12" t="str"/>
      <x:c r="N28" s="11" t="n">
        <x:f>IF(F28="PENDING","",IF(F28="PASS",1,0))</x:f>
        <x:v>1</x:v>
      </x:c>
      <x:c r="O28" s="11" t="n">
        <x:f>IF(H28="PENDING","",IF(H28="PASS",1,0))</x:f>
        <x:v>1</x:v>
      </x:c>
    </x:row>
    <x:row r="29" ht="55" customHeight="1">
      <x:c r="A29" s="11" t="str">
        <x:v>t023</x:v>
      </x:c>
      <x:c r="B29" s="11" t="str">
        <x:v>I'm trying to return the headphones I bought last week; they're still sealed. Can I get my money back?</x:v>
      </x:c>
      <x:c r="C29" s="11" t="str">
        <x:v>refund_request</x:v>
      </x:c>
      <x:c r="D29" s="12" t="str">
        <x:v>refund_request</x:v>
      </x:c>
      <x:c r="E29" s="11" t="str">
        <x:v>refund_request</x:v>
      </x:c>
      <x:c r="F29" s="11" t="str">
        <x:f>IF(D29="","PENDING",IF(E29=D29,"PASS","FAIL"))</x:f>
        <x:v>PASS</x:v>
      </x:c>
      <x:c r="G29" s="11" t="str">
        <x:v>refund_request</x:v>
      </x:c>
      <x:c r="H29" s="11" t="str">
        <x:f>IF(D29="","PENDING",IF(G29=D29,"PASS","FAIL"))</x:f>
        <x:v>PASS</x:v>
      </x:c>
      <x:c r="I29" s="11" t="str">
        <x:f>IF(OR(F29="PENDING",H29="PENDING"),"PENDING",IF(F29="FAIL",IF(H29="PASS","WIN","STILL_FAIL"),IF(H29="FAIL","REGRESSION","STILL_PASS")))</x:f>
        <x:v>STILL_PASS</x:v>
      </x:c>
      <x:c r="J29" s="11" t="str"/>
      <x:c r="K29" s="11" t="str"/>
      <x:c r="L29" s="12" t="str"/>
      <x:c r="M29" s="12" t="str"/>
      <x:c r="N29" s="11" t="n">
        <x:f>IF(F29="PENDING","",IF(F29="PASS",1,0))</x:f>
        <x:v>1</x:v>
      </x:c>
      <x:c r="O29" s="11" t="n">
        <x:f>IF(H29="PENDING","",IF(H29="PASS",1,0))</x:f>
        <x:v>1</x:v>
      </x:c>
    </x:row>
    <x:row r="30" ht="55" customHeight="1">
      <x:c r="A30" s="11" t="str">
        <x:v>t024</x:v>
      </x:c>
      <x:c r="B30" s="11" t="str">
        <x:v>Where is my refund? I returned the item two weeks ago and still nothing on my card.</x:v>
      </x:c>
      <x:c r="C30" s="11" t="str">
        <x:v>refund_request</x:v>
      </x:c>
      <x:c r="D30" s="12" t="str">
        <x:v>refund_request</x:v>
      </x:c>
      <x:c r="E30" s="11" t="str">
        <x:v>refund_request</x:v>
      </x:c>
      <x:c r="F30" s="11" t="str">
        <x:f>IF(D30="","PENDING",IF(E30=D30,"PASS","FAIL"))</x:f>
        <x:v>PASS</x:v>
      </x:c>
      <x:c r="G30" s="11" t="str">
        <x:v>order_status</x:v>
      </x:c>
      <x:c r="H30" s="11" t="str">
        <x:f>IF(D30="","PENDING",IF(G30=D30,"PASS","FAIL"))</x:f>
        <x:v>FAIL</x:v>
      </x:c>
      <x:c r="I30" s="11" t="str">
        <x:f>IF(OR(F30="PENDING",H30="PENDING"),"PENDING",IF(F30="FAIL",IF(H30="PASS","WIN","STILL_FAIL"),IF(H30="FAIL","REGRESSION","STILL_PASS")))</x:f>
        <x:v>REGRESSION</x:v>
      </x:c>
      <x:c r="J30" s="11" t="str">
        <x:v>Refund payment confused with order delivery</x:v>
      </x:c>
      <x:c r="K30" s="11" t="str">
        <x:v>The customer has returned an item and is waiting for money to reach their card. This is refund payment status, not order delivery status.</x:v>
      </x:c>
      <x:c r="L30" s="12" t="str">
        <x:v>refund_request</x:v>
      </x:c>
      <x:c r="M30" s="12" t="str">
        <x:v>Approved</x:v>
      </x:c>
      <x:c r="N30" s="11" t="n">
        <x:f>IF(F30="PENDING","",IF(F30="PASS",1,0))</x:f>
        <x:v>1</x:v>
      </x:c>
      <x:c r="O30" s="11" t="n">
        <x:f>IF(H30="PENDING","",IF(H30="PASS",1,0))</x:f>
        <x:v>0</x:v>
      </x:c>
    </x:row>
    <x:row r="31" ht="55" customHeight="1">
      <x:c r="A31" s="11" t="str">
        <x:v>t025</x:v>
      </x:c>
      <x:c r="B31" s="11" t="str">
        <x:v>I'm really frustrated right now! I sent back my order, number 2345, two weeks ago, and I've yet to see my refund hit my credit card. What’s the hold-up?</x:v>
      </x:c>
      <x:c r="C31" s="11" t="str">
        <x:v>refund_request</x:v>
      </x:c>
      <x:c r="D31" s="12" t="str">
        <x:v>refund_request</x:v>
      </x:c>
      <x:c r="E31" s="11" t="str">
        <x:v>refund_request</x:v>
      </x:c>
      <x:c r="F31" s="11" t="str">
        <x:f>IF(D31="","PENDING",IF(E31=D31,"PASS","FAIL"))</x:f>
        <x:v>PASS</x:v>
      </x:c>
      <x:c r="G31" s="11" t="str">
        <x:v>order_status</x:v>
      </x:c>
      <x:c r="H31" s="11" t="str">
        <x:f>IF(D31="","PENDING",IF(G31=D31,"PASS","FAIL"))</x:f>
        <x:v>FAIL</x:v>
      </x:c>
      <x:c r="I31" s="11" t="str">
        <x:f>IF(OR(F31="PENDING",H31="PENDING"),"PENDING",IF(F31="FAIL",IF(H31="PASS","WIN","STILL_FAIL"),IF(H31="FAIL","REGRESSION","STILL_PASS")))</x:f>
        <x:v>REGRESSION</x:v>
      </x:c>
      <x:c r="J31" s="11" t="str">
        <x:v>Refund payment confused with order delivery</x:v>
      </x:c>
      <x:c r="K31" s="11" t="str">
        <x:v>The customer has returned an item and is waiting for money to reach their card. This is refund payment status, not order delivery status.</x:v>
      </x:c>
      <x:c r="L31" s="12" t="str"/>
      <x:c r="M31" s="12" t="str">
        <x:v>Approved</x:v>
      </x:c>
      <x:c r="N31" s="11" t="n">
        <x:f>IF(F31="PENDING","",IF(F31="PASS",1,0))</x:f>
        <x:v>1</x:v>
      </x:c>
      <x:c r="O31" s="11" t="n">
        <x:f>IF(H31="PENDING","",IF(H31="PASS",1,0))</x:f>
        <x:v>0</x:v>
      </x:c>
    </x:row>
    <x:row r="32" ht="62" customHeight="1">
      <x:c r="A32" s="11" t="str">
        <x:v>t026</x:v>
      </x:c>
      <x:c r="B32" s="11" t="str">
        <x:v>Hi there, I hope you’re doing well. I wanted to inquire about my refund for the item I returned (order #9876) two weeks ago; unfortunately, it hasn’t appeared on my card yet. Could you please help me with this?</x:v>
      </x:c>
      <x:c r="C32" s="11" t="str">
        <x:v>refund_request</x:v>
      </x:c>
      <x:c r="D32" s="12" t="str">
        <x:v>refund_request</x:v>
      </x:c>
      <x:c r="E32" s="11" t="str">
        <x:v>refund_request</x:v>
      </x:c>
      <x:c r="F32" s="11" t="str">
        <x:f>IF(D32="","PENDING",IF(E32=D32,"PASS","FAIL"))</x:f>
        <x:v>PASS</x:v>
      </x:c>
      <x:c r="G32" s="11" t="str">
        <x:v>order_status</x:v>
      </x:c>
      <x:c r="H32" s="11" t="str">
        <x:f>IF(D32="","PENDING",IF(G32=D32,"PASS","FAIL"))</x:f>
        <x:v>FAIL</x:v>
      </x:c>
      <x:c r="I32" s="11" t="str">
        <x:f>IF(OR(F32="PENDING",H32="PENDING"),"PENDING",IF(F32="FAIL",IF(H32="PASS","WIN","STILL_FAIL"),IF(H32="FAIL","REGRESSION","STILL_PASS")))</x:f>
        <x:v>REGRESSION</x:v>
      </x:c>
      <x:c r="J32" s="11" t="str">
        <x:v>Refund payment confused with order delivery</x:v>
      </x:c>
      <x:c r="K32" s="11" t="str">
        <x:v>The customer has returned an item and is waiting for money to reach their card. This is refund payment status, not order delivery status.</x:v>
      </x:c>
      <x:c r="L32" s="12" t="str"/>
      <x:c r="M32" s="12" t="str">
        <x:v>Approved</x:v>
      </x:c>
      <x:c r="N32" s="11" t="n">
        <x:f>IF(F32="PENDING","",IF(F32="PASS",1,0))</x:f>
        <x:v>1</x:v>
      </x:c>
      <x:c r="O32" s="11" t="n">
        <x:f>IF(H32="PENDING","",IF(H32="PASS",1,0))</x:f>
        <x:v>0</x:v>
      </x:c>
    </x:row>
    <x:row r="33" ht="98" customHeight="1">
      <x:c r="A33" s="11" t="str">
        <x:v>t027</x:v>
      </x:c>
      <x:c r="B33" s="11" t="str">
        <x:v>Hey, can someone tell me what's going on with my refund? It’s been two weeks since I returned the item (order #5432) and I still haven't seen anything on my card. This is getting ridiculous!</x:v>
      </x:c>
      <x:c r="C33" s="11" t="str">
        <x:v>refund_request</x:v>
      </x:c>
      <x:c r="D33" s="12" t="str">
        <x:v>refund_request</x:v>
      </x:c>
      <x:c r="E33" s="11" t="str">
        <x:v>refund_request</x:v>
      </x:c>
      <x:c r="F33" s="11" t="str">
        <x:f>IF(D33="","PENDING",IF(E33=D33,"PASS","FAIL"))</x:f>
        <x:v>PASS</x:v>
      </x:c>
      <x:c r="G33" s="11" t="str">
        <x:v>order_status</x:v>
      </x:c>
      <x:c r="H33" s="11" t="str">
        <x:f>IF(D33="","PENDING",IF(G33=D33,"PASS","FAIL"))</x:f>
        <x:v>FAIL</x:v>
      </x:c>
      <x:c r="I33" s="11" t="str">
        <x:f>IF(OR(F33="PENDING",H33="PENDING"),"PENDING",IF(F33="FAIL",IF(H33="PASS","WIN","STILL_FAIL"),IF(H33="FAIL","REGRESSION","STILL_PASS")))</x:f>
        <x:v>REGRESSION</x:v>
      </x:c>
      <x:c r="J33" s="11" t="str">
        <x:v>Refund payment confused with order delivery</x:v>
      </x:c>
      <x:c r="K33" s="11" t="str">
        <x:v>The customer has returned an item and is waiting for money to reach their card. This is refund payment status, not order delivery status.</x:v>
      </x:c>
      <x:c r="L33" s="12" t="str">
        <x:v>refund_request
Draft explanation: The item was returned and the customer is waiting for the refund payment. This is refund_request, not an order-delivery enquiry. The baseline is correct; the focused prompt incorrectly treats the missing payment as a missing order.</x:v>
      </x:c>
      <x:c r="M33" s="12" t="str">
        <x:v>Approved</x:v>
      </x:c>
      <x:c r="N33" s="11" t="n">
        <x:f>IF(F33="PENDING","",IF(F33="PASS",1,0))</x:f>
        <x:v>1</x:v>
      </x:c>
      <x:c r="O33" s="11" t="n">
        <x:f>IF(H33="PENDING","",IF(H33="PASS",1,0))</x:f>
        <x:v>0</x:v>
      </x:c>
    </x:row>
    <x:row r="34" ht="90" customHeight="1">
      <x:c r="A34" s="11" t="str">
        <x:v>t028</x:v>
      </x:c>
      <x:c r="B34" s="11" t="str">
        <x:v>Please cancel order 99021 and refund my card. I no longer need it.</x:v>
      </x:c>
      <x:c r="C34" s="11" t="str">
        <x:v>refund_request</x:v>
      </x:c>
      <x:c r="D34" s="12" t="str">
        <x:v>refund_request</x:v>
      </x:c>
      <x:c r="E34" s="11" t="str">
        <x:v>refund_request</x:v>
      </x:c>
      <x:c r="F34" s="11" t="str">
        <x:f>IF(D34="","PENDING",IF(E34=D34,"PASS","FAIL"))</x:f>
        <x:v>PASS</x:v>
      </x:c>
      <x:c r="G34" s="11" t="str">
        <x:v>order_status</x:v>
      </x:c>
      <x:c r="H34" s="11" t="str">
        <x:f>IF(D34="","PENDING",IF(G34=D34,"PASS","FAIL"))</x:f>
        <x:v>FAIL</x:v>
      </x:c>
      <x:c r="I34" s="11" t="str">
        <x:f>IF(OR(F34="PENDING",H34="PENDING"),"PENDING",IF(F34="FAIL",IF(H34="PASS","WIN","STILL_FAIL"),IF(H34="FAIL","REGRESSION","STILL_PASS")))</x:f>
        <x:v>REGRESSION</x:v>
      </x:c>
      <x:c r="J34" s="11" t="str">
        <x:v>Refund payment confused with order delivery</x:v>
      </x:c>
      <x:c r="K34" s="11" t="str">
        <x:v>The customer explicitly requests cancellation and a refund because the order is no longer needed. There is no claim that the order never arrived.</x:v>
      </x:c>
      <x:c r="L34" s="12" t="str">
        <x:v>refund_request
Draft explanation: The customer requests cancellation and money back because the order is no longer needed. No non-delivery is stated. The baseline correctly predicts refund_request; the focused prompt incorrectly predicts order_status.</x:v>
      </x:c>
      <x:c r="M34" s="12" t="str">
        <x:v>Approved</x:v>
      </x:c>
      <x:c r="N34" s="11" t="n">
        <x:f>IF(F34="PENDING","",IF(F34="PASS",1,0))</x:f>
        <x:v>1</x:v>
      </x:c>
      <x:c r="O34" s="11" t="n">
        <x:f>IF(H34="PENDING","",IF(H34="PASS",1,0))</x:f>
        <x:v>0</x:v>
      </x:c>
    </x:row>
    <x:row r="35" ht="90" customHeight="1">
      <x:c r="A35" s="11" t="str">
        <x:v>t029</x:v>
      </x:c>
      <x:c r="B35" s="11" t="str">
        <x:v>I'm really frustrated right now. Can you please cancel my order 99021 and process a refund to my card? I don't need this anymore.</x:v>
      </x:c>
      <x:c r="C35" s="11" t="str">
        <x:v>refund_request</x:v>
      </x:c>
      <x:c r="D35" s="12" t="str">
        <x:v>refund_request</x:v>
      </x:c>
      <x:c r="E35" s="11" t="str">
        <x:v>refund_request</x:v>
      </x:c>
      <x:c r="F35" s="11" t="str">
        <x:f>IF(D35="","PENDING",IF(E35=D35,"PASS","FAIL"))</x:f>
        <x:v>PASS</x:v>
      </x:c>
      <x:c r="G35" s="11" t="str">
        <x:v>order_status</x:v>
      </x:c>
      <x:c r="H35" s="11" t="str">
        <x:f>IF(D35="","PENDING",IF(G35=D35,"PASS","FAIL"))</x:f>
        <x:v>FAIL</x:v>
      </x:c>
      <x:c r="I35" s="11" t="str">
        <x:f>IF(OR(F35="PENDING",H35="PENDING"),"PENDING",IF(F35="FAIL",IF(H35="PASS","WIN","STILL_FAIL"),IF(H35="FAIL","REGRESSION","STILL_PASS")))</x:f>
        <x:v>REGRESSION</x:v>
      </x:c>
      <x:c r="J35" s="11" t="str">
        <x:v>Refund payment confused with order delivery</x:v>
      </x:c>
      <x:c r="K35" s="11" t="str">
        <x:v>The customer explicitly requests cancellation and a refund because the order is no longer needed. There is no claim that the order never arrived.</x:v>
      </x:c>
      <x:c r="L35" s="12" t="str">
        <x:v>Draft explanation: The customer requests cancellation and money back because the order is no longer needed. No non-delivery is stated. The baseline correctly predicts refund_request; the focused prompt incorrectly predicts order_status.</x:v>
      </x:c>
      <x:c r="M35" s="12" t="str">
        <x:v>Approved</x:v>
      </x:c>
      <x:c r="N35" s="11" t="n">
        <x:f>IF(F35="PENDING","",IF(F35="PASS",1,0))</x:f>
        <x:v>1</x:v>
      </x:c>
      <x:c r="O35" s="11" t="n">
        <x:f>IF(H35="PENDING","",IF(H35="PASS",1,0))</x:f>
        <x:v>0</x:v>
      </x:c>
    </x:row>
    <x:row r="36" ht="55" customHeight="1">
      <x:c r="A36" s="11" t="str">
        <x:v>t030</x:v>
      </x:c>
      <x:c r="B36" s="11" t="str">
        <x:v>Hi there, I hope you're well! I would appreciate it if you could cancel my order 99021 and issue a refund to my card, as I've changed my mind on the purchase. Thank you!</x:v>
      </x:c>
      <x:c r="C36" s="11" t="str">
        <x:v>refund_request</x:v>
      </x:c>
      <x:c r="D36" s="12" t="str">
        <x:v>refund_request</x:v>
      </x:c>
      <x:c r="E36" s="11" t="str">
        <x:v>refund_request</x:v>
      </x:c>
      <x:c r="F36" s="11" t="str">
        <x:f>IF(D36="","PENDING",IF(E36=D36,"PASS","FAIL"))</x:f>
        <x:v>PASS</x:v>
      </x:c>
      <x:c r="G36" s="11" t="str">
        <x:v>refund_request</x:v>
      </x:c>
      <x:c r="H36" s="11" t="str">
        <x:f>IF(D36="","PENDING",IF(G36=D36,"PASS","FAIL"))</x:f>
        <x:v>PASS</x:v>
      </x:c>
      <x:c r="I36" s="11" t="str">
        <x:f>IF(OR(F36="PENDING",H36="PENDING"),"PENDING",IF(F36="FAIL",IF(H36="PASS","WIN","STILL_FAIL"),IF(H36="FAIL","REGRESSION","STILL_PASS")))</x:f>
        <x:v>STILL_PASS</x:v>
      </x:c>
      <x:c r="J36" s="11" t="str"/>
      <x:c r="K36" s="11" t="str"/>
      <x:c r="L36" s="12" t="str"/>
      <x:c r="M36" s="12" t="str"/>
      <x:c r="N36" s="11" t="n">
        <x:f>IF(F36="PENDING","",IF(F36="PASS",1,0))</x:f>
        <x:v>1</x:v>
      </x:c>
      <x:c r="O36" s="11" t="n">
        <x:f>IF(H36="PENDING","",IF(H36="PASS",1,0))</x:f>
        <x:v>1</x:v>
      </x:c>
    </x:row>
    <x:row r="37" ht="55" customHeight="1">
      <x:c r="A37" s="11" t="str">
        <x:v>t031</x:v>
      </x:c>
      <x:c r="B37" s="11" t="str">
        <x:v>Order 99021—please cancel and refund my card. I'm not interested anymore.</x:v>
      </x:c>
      <x:c r="C37" s="11" t="str">
        <x:v>refund_request</x:v>
      </x:c>
      <x:c r="D37" s="12" t="str">
        <x:v>refund_request</x:v>
      </x:c>
      <x:c r="E37" s="11" t="str">
        <x:v>refund_request</x:v>
      </x:c>
      <x:c r="F37" s="11" t="str">
        <x:f>IF(D37="","PENDING",IF(E37=D37,"PASS","FAIL"))</x:f>
        <x:v>PASS</x:v>
      </x:c>
      <x:c r="G37" s="11" t="str">
        <x:v>refund_request</x:v>
      </x:c>
      <x:c r="H37" s="11" t="str">
        <x:f>IF(D37="","PENDING",IF(G37=D37,"PASS","FAIL"))</x:f>
        <x:v>PASS</x:v>
      </x:c>
      <x:c r="I37" s="11" t="str">
        <x:f>IF(OR(F37="PENDING",H37="PENDING"),"PENDING",IF(F37="FAIL",IF(H37="PASS","WIN","STILL_FAIL"),IF(H37="FAIL","REGRESSION","STILL_PASS")))</x:f>
        <x:v>STILL_PASS</x:v>
      </x:c>
      <x:c r="J37" s="11" t="str"/>
      <x:c r="K37" s="11" t="str"/>
      <x:c r="L37" s="12" t="str"/>
      <x:c r="M37" s="12" t="str"/>
      <x:c r="N37" s="11" t="n">
        <x:f>IF(F37="PENDING","",IF(F37="PASS",1,0))</x:f>
        <x:v>1</x:v>
      </x:c>
      <x:c r="O37" s="11" t="n">
        <x:f>IF(H37="PENDING","",IF(H37="PASS",1,0))</x:f>
        <x:v>1</x:v>
      </x:c>
    </x:row>
    <x:row r="38" ht="55" customHeight="1">
      <x:c r="A38" s="11" t="str">
        <x:v>t032</x:v>
      </x:c>
      <x:c r="B38" s="11" t="str">
        <x:v>I was charged $89 but the website showed $79 at checkout. Please refund the difference.</x:v>
      </x:c>
      <x:c r="C38" s="11" t="str">
        <x:v>refund_request</x:v>
      </x:c>
      <x:c r="D38" s="12" t="str">
        <x:v>refund_request</x:v>
      </x:c>
      <x:c r="E38" s="11" t="str">
        <x:v>refund_request</x:v>
      </x:c>
      <x:c r="F38" s="11" t="str">
        <x:f>IF(D38="","PENDING",IF(E38=D38,"PASS","FAIL"))</x:f>
        <x:v>PASS</x:v>
      </x:c>
      <x:c r="G38" s="11" t="str">
        <x:v>refund_request</x:v>
      </x:c>
      <x:c r="H38" s="11" t="str">
        <x:f>IF(D38="","PENDING",IF(G38=D38,"PASS","FAIL"))</x:f>
        <x:v>PASS</x:v>
      </x:c>
      <x:c r="I38" s="11" t="str">
        <x:f>IF(OR(F38="PENDING",H38="PENDING"),"PENDING",IF(F38="FAIL",IF(H38="PASS","WIN","STILL_FAIL"),IF(H38="FAIL","REGRESSION","STILL_PASS")))</x:f>
        <x:v>STILL_PASS</x:v>
      </x:c>
      <x:c r="J38" s="11" t="str"/>
      <x:c r="K38" s="11" t="str"/>
      <x:c r="L38" s="12" t="str"/>
      <x:c r="M38" s="12" t="str"/>
      <x:c r="N38" s="11" t="n">
        <x:f>IF(F38="PENDING","",IF(F38="PASS",1,0))</x:f>
        <x:v>1</x:v>
      </x:c>
      <x:c r="O38" s="11" t="n">
        <x:f>IF(H38="PENDING","",IF(H38="PASS",1,0))</x:f>
        <x:v>1</x:v>
      </x:c>
    </x:row>
    <x:row r="39" ht="55" customHeight="1">
      <x:c r="A39" s="11" t="str">
        <x:v>t033</x:v>
      </x:c>
      <x:c r="B39" s="11" t="str">
        <x:v>I can't believe I was charged $89 when the checkout clearly said $79. This is ridiculous! Please refund the extra $10 immediately!</x:v>
      </x:c>
      <x:c r="C39" s="11" t="str">
        <x:v>refund_request</x:v>
      </x:c>
      <x:c r="D39" s="12" t="str">
        <x:v>refund_request</x:v>
      </x:c>
      <x:c r="E39" s="11" t="str">
        <x:v>refund_request</x:v>
      </x:c>
      <x:c r="F39" s="11" t="str">
        <x:f>IF(D39="","PENDING",IF(E39=D39,"PASS","FAIL"))</x:f>
        <x:v>PASS</x:v>
      </x:c>
      <x:c r="G39" s="11" t="str">
        <x:v>refund_request</x:v>
      </x:c>
      <x:c r="H39" s="11" t="str">
        <x:f>IF(D39="","PENDING",IF(G39=D39,"PASS","FAIL"))</x:f>
        <x:v>PASS</x:v>
      </x:c>
      <x:c r="I39" s="11" t="str">
        <x:f>IF(OR(F39="PENDING",H39="PENDING"),"PENDING",IF(F39="FAIL",IF(H39="PASS","WIN","STILL_FAIL"),IF(H39="FAIL","REGRESSION","STILL_PASS")))</x:f>
        <x:v>STILL_PASS</x:v>
      </x:c>
      <x:c r="J39" s="11" t="str"/>
      <x:c r="K39" s="11" t="str"/>
      <x:c r="L39" s="12" t="str"/>
      <x:c r="M39" s="12" t="str"/>
      <x:c r="N39" s="11" t="n">
        <x:f>IF(F39="PENDING","",IF(F39="PASS",1,0))</x:f>
        <x:v>1</x:v>
      </x:c>
      <x:c r="O39" s="11" t="n">
        <x:f>IF(H39="PENDING","",IF(H39="PASS",1,0))</x:f>
        <x:v>1</x:v>
      </x:c>
    </x:row>
    <x:row r="40" ht="55" customHeight="1">
      <x:c r="A40" s="11" t="str">
        <x:v>t034</x:v>
      </x:c>
      <x:c r="B40" s="11" t="str">
        <x:v>Hello, I noticed that I ended up paying $89 for my order, but it should have been $79 according to the checkout page. Could you assist me by refunding the difference? Thank you!</x:v>
      </x:c>
      <x:c r="C40" s="11" t="str">
        <x:v>refund_request</x:v>
      </x:c>
      <x:c r="D40" s="12" t="str">
        <x:v>refund_request</x:v>
      </x:c>
      <x:c r="E40" s="11" t="str">
        <x:v>refund_request</x:v>
      </x:c>
      <x:c r="F40" s="11" t="str">
        <x:f>IF(D40="","PENDING",IF(E40=D40,"PASS","FAIL"))</x:f>
        <x:v>PASS</x:v>
      </x:c>
      <x:c r="G40" s="11" t="str">
        <x:v>refund_request</x:v>
      </x:c>
      <x:c r="H40" s="11" t="str">
        <x:f>IF(D40="","PENDING",IF(G40=D40,"PASS","FAIL"))</x:f>
        <x:v>PASS</x:v>
      </x:c>
      <x:c r="I40" s="11" t="str">
        <x:f>IF(OR(F40="PENDING",H40="PENDING"),"PENDING",IF(F40="FAIL",IF(H40="PASS","WIN","STILL_FAIL"),IF(H40="FAIL","REGRESSION","STILL_PASS")))</x:f>
        <x:v>STILL_PASS</x:v>
      </x:c>
      <x:c r="J40" s="11" t="str"/>
      <x:c r="K40" s="11" t="str"/>
      <x:c r="L40" s="12" t="str"/>
      <x:c r="M40" s="12" t="str"/>
      <x:c r="N40" s="11" t="n">
        <x:f>IF(F40="PENDING","",IF(F40="PASS",1,0))</x:f>
        <x:v>1</x:v>
      </x:c>
      <x:c r="O40" s="11" t="n">
        <x:f>IF(H40="PENDING","",IF(H40="PASS",1,0))</x:f>
        <x:v>1</x:v>
      </x:c>
    </x:row>
    <x:row r="41" ht="55" customHeight="1">
      <x:c r="A41" s="11" t="str">
        <x:v>t035</x:v>
      </x:c>
      <x:c r="B41" s="11" t="str">
        <x:v>I was expecting to pay $79 as advertised, but somehow I got charged $89. Can you please fix this and refund me the difference?</x:v>
      </x:c>
      <x:c r="C41" s="11" t="str">
        <x:v>refund_request</x:v>
      </x:c>
      <x:c r="D41" s="12" t="str">
        <x:v>refund_request</x:v>
      </x:c>
      <x:c r="E41" s="11" t="str">
        <x:v>refund_request</x:v>
      </x:c>
      <x:c r="F41" s="11" t="str">
        <x:f>IF(D41="","PENDING",IF(E41=D41,"PASS","FAIL"))</x:f>
        <x:v>PASS</x:v>
      </x:c>
      <x:c r="G41" s="11" t="str">
        <x:v>refund_request</x:v>
      </x:c>
      <x:c r="H41" s="11" t="str">
        <x:f>IF(D41="","PENDING",IF(G41=D41,"PASS","FAIL"))</x:f>
        <x:v>PASS</x:v>
      </x:c>
      <x:c r="I41" s="11" t="str">
        <x:f>IF(OR(F41="PENDING",H41="PENDING"),"PENDING",IF(F41="FAIL",IF(H41="PASS","WIN","STILL_FAIL"),IF(H41="FAIL","REGRESSION","STILL_PASS")))</x:f>
        <x:v>STILL_PASS</x:v>
      </x:c>
      <x:c r="J41" s="11" t="str"/>
      <x:c r="K41" s="11" t="str"/>
      <x:c r="L41" s="12" t="str"/>
      <x:c r="M41" s="12" t="str"/>
      <x:c r="N41" s="11" t="n">
        <x:f>IF(F41="PENDING","",IF(F41="PASS",1,0))</x:f>
        <x:v>1</x:v>
      </x:c>
      <x:c r="O41" s="11" t="n">
        <x:f>IF(H41="PENDING","",IF(H41="PASS",1,0))</x:f>
        <x:v>1</x:v>
      </x:c>
    </x:row>
    <x:row r="42" ht="55" customHeight="1">
      <x:c r="A42" s="11" t="str">
        <x:v>t036</x:v>
      </x:c>
      <x:c r="B42" s="11" t="str">
        <x:v>Returning these for store credit is fine but honestly I'd prefer cash back to my original card.</x:v>
      </x:c>
      <x:c r="C42" s="11" t="str">
        <x:v>refund_request</x:v>
      </x:c>
      <x:c r="D42" s="12" t="str">
        <x:v>refund_request</x:v>
      </x:c>
      <x:c r="E42" s="11" t="str">
        <x:v>refund_request</x:v>
      </x:c>
      <x:c r="F42" s="11" t="str">
        <x:f>IF(D42="","PENDING",IF(E42=D42,"PASS","FAIL"))</x:f>
        <x:v>PASS</x:v>
      </x:c>
      <x:c r="G42" s="11" t="str">
        <x:v>refund_request</x:v>
      </x:c>
      <x:c r="H42" s="11" t="str">
        <x:f>IF(D42="","PENDING",IF(G42=D42,"PASS","FAIL"))</x:f>
        <x:v>PASS</x:v>
      </x:c>
      <x:c r="I42" s="11" t="str">
        <x:f>IF(OR(F42="PENDING",H42="PENDING"),"PENDING",IF(F42="FAIL",IF(H42="PASS","WIN","STILL_FAIL"),IF(H42="FAIL","REGRESSION","STILL_PASS")))</x:f>
        <x:v>STILL_PASS</x:v>
      </x:c>
      <x:c r="J42" s="11" t="str"/>
      <x:c r="K42" s="11" t="str"/>
      <x:c r="L42" s="12" t="str"/>
      <x:c r="M42" s="12" t="str"/>
      <x:c r="N42" s="11" t="n">
        <x:f>IF(F42="PENDING","",IF(F42="PASS",1,0))</x:f>
        <x:v>1</x:v>
      </x:c>
      <x:c r="O42" s="11" t="n">
        <x:f>IF(H42="PENDING","",IF(H42="PASS",1,0))</x:f>
        <x:v>1</x:v>
      </x:c>
    </x:row>
    <x:row r="43" ht="55" customHeight="1">
      <x:c r="A43" s="11" t="str">
        <x:v>t037</x:v>
      </x:c>
      <x:c r="B43" s="11" t="str">
        <x:v>I want to return these for store credit, but to be honest, I'd much rather have a refund to my card instead.</x:v>
      </x:c>
      <x:c r="C43" s="11" t="str">
        <x:v>refund_request</x:v>
      </x:c>
      <x:c r="D43" s="12" t="str">
        <x:v>refund_request</x:v>
      </x:c>
      <x:c r="E43" s="11" t="str">
        <x:v>refund_request</x:v>
      </x:c>
      <x:c r="F43" s="11" t="str">
        <x:f>IF(D43="","PENDING",IF(E43=D43,"PASS","FAIL"))</x:f>
        <x:v>PASS</x:v>
      </x:c>
      <x:c r="G43" s="11" t="str">
        <x:v>refund_request</x:v>
      </x:c>
      <x:c r="H43" s="11" t="str">
        <x:f>IF(D43="","PENDING",IF(G43=D43,"PASS","FAIL"))</x:f>
        <x:v>PASS</x:v>
      </x:c>
      <x:c r="I43" s="11" t="str">
        <x:f>IF(OR(F43="PENDING",H43="PENDING"),"PENDING",IF(F43="FAIL",IF(H43="PASS","WIN","STILL_FAIL"),IF(H43="FAIL","REGRESSION","STILL_PASS")))</x:f>
        <x:v>STILL_PASS</x:v>
      </x:c>
      <x:c r="J43" s="11" t="str"/>
      <x:c r="K43" s="11" t="str"/>
      <x:c r="L43" s="12" t="str"/>
      <x:c r="M43" s="12" t="str"/>
      <x:c r="N43" s="11" t="n">
        <x:f>IF(F43="PENDING","",IF(F43="PASS",1,0))</x:f>
        <x:v>1</x:v>
      </x:c>
      <x:c r="O43" s="11" t="n">
        <x:f>IF(H43="PENDING","",IF(H43="PASS",1,0))</x:f>
        <x:v>1</x:v>
      </x:c>
    </x:row>
    <x:row r="44" ht="55" customHeight="1">
      <x:c r="A44" s="11" t="str">
        <x:v>t038</x:v>
      </x:c>
      <x:c r="B44" s="11" t="str">
        <x:v>I guess store credit is okay for returning these, but honestly, I'd really prefer getting my money back to the card I used.</x:v>
      </x:c>
      <x:c r="C44" s="11" t="str">
        <x:v>refund_request</x:v>
      </x:c>
      <x:c r="D44" s="12" t="str">
        <x:v>refund_request</x:v>
      </x:c>
      <x:c r="E44" s="11" t="str">
        <x:v>refund_request</x:v>
      </x:c>
      <x:c r="F44" s="11" t="str">
        <x:f>IF(D44="","PENDING",IF(E44=D44,"PASS","FAIL"))</x:f>
        <x:v>PASS</x:v>
      </x:c>
      <x:c r="G44" s="11" t="str">
        <x:v>refund_request</x:v>
      </x:c>
      <x:c r="H44" s="11" t="str">
        <x:f>IF(D44="","PENDING",IF(G44=D44,"PASS","FAIL"))</x:f>
        <x:v>PASS</x:v>
      </x:c>
      <x:c r="I44" s="11" t="str">
        <x:f>IF(OR(F44="PENDING",H44="PENDING"),"PENDING",IF(F44="FAIL",IF(H44="PASS","WIN","STILL_FAIL"),IF(H44="FAIL","REGRESSION","STILL_PASS")))</x:f>
        <x:v>STILL_PASS</x:v>
      </x:c>
      <x:c r="J44" s="11" t="str"/>
      <x:c r="K44" s="11" t="str"/>
      <x:c r="L44" s="12" t="str"/>
      <x:c r="M44" s="12" t="str"/>
      <x:c r="N44" s="11" t="n">
        <x:f>IF(F44="PENDING","",IF(F44="PASS",1,0))</x:f>
        <x:v>1</x:v>
      </x:c>
      <x:c r="O44" s="11" t="n">
        <x:f>IF(H44="PENDING","",IF(H44="PASS",1,0))</x:f>
        <x:v>1</x:v>
      </x:c>
    </x:row>
    <x:row r="45" ht="55" customHeight="1">
      <x:c r="A45" s="11" t="str">
        <x:v>t039</x:v>
      </x:c>
      <x:c r="B45" s="11" t="str">
        <x:v>While returning these for store credit works, I would much rather receive a cash refund back onto my original card, if possible.</x:v>
      </x:c>
      <x:c r="C45" s="11" t="str">
        <x:v>refund_request</x:v>
      </x:c>
      <x:c r="D45" s="12" t="str">
        <x:v>refund_request</x:v>
      </x:c>
      <x:c r="E45" s="11" t="str">
        <x:v>refund_request</x:v>
      </x:c>
      <x:c r="F45" s="11" t="str">
        <x:f>IF(D45="","PENDING",IF(E45=D45,"PASS","FAIL"))</x:f>
        <x:v>PASS</x:v>
      </x:c>
      <x:c r="G45" s="11" t="str">
        <x:v>refund_request</x:v>
      </x:c>
      <x:c r="H45" s="11" t="str">
        <x:f>IF(D45="","PENDING",IF(G45=D45,"PASS","FAIL"))</x:f>
        <x:v>PASS</x:v>
      </x:c>
      <x:c r="I45" s="11" t="str">
        <x:f>IF(OR(F45="PENDING",H45="PENDING"),"PENDING",IF(F45="FAIL",IF(H45="PASS","WIN","STILL_FAIL"),IF(H45="FAIL","REGRESSION","STILL_PASS")))</x:f>
        <x:v>STILL_PASS</x:v>
      </x:c>
      <x:c r="J45" s="11" t="str"/>
      <x:c r="K45" s="11" t="str"/>
      <x:c r="L45" s="12" t="str"/>
      <x:c r="M45" s="12" t="str"/>
      <x:c r="N45" s="11" t="n">
        <x:f>IF(F45="PENDING","",IF(F45="PASS",1,0))</x:f>
        <x:v>1</x:v>
      </x:c>
      <x:c r="O45" s="11" t="n">
        <x:f>IF(H45="PENDING","",IF(H45="PASS",1,0))</x:f>
        <x:v>1</x:v>
      </x:c>
    </x:row>
    <x:row r="46" ht="55" customHeight="1">
      <x:c r="A46" s="11" t="str">
        <x:v>t040</x:v>
      </x:c>
      <x:c r="B46" s="11" t="str">
        <x:v>The coffee maker arrived with a cracked carafe. Really disappointed.</x:v>
      </x:c>
      <x:c r="C46" s="11" t="str">
        <x:v>product_issue</x:v>
      </x:c>
      <x:c r="D46" s="12" t="str">
        <x:v>product_issue</x:v>
      </x:c>
      <x:c r="E46" s="11" t="str">
        <x:v>product_issue</x:v>
      </x:c>
      <x:c r="F46" s="11" t="str">
        <x:f>IF(D46="","PENDING",IF(E46=D46,"PASS","FAIL"))</x:f>
        <x:v>PASS</x:v>
      </x:c>
      <x:c r="G46" s="11" t="str">
        <x:v>product_issue</x:v>
      </x:c>
      <x:c r="H46" s="11" t="str">
        <x:f>IF(D46="","PENDING",IF(G46=D46,"PASS","FAIL"))</x:f>
        <x:v>PASS</x:v>
      </x:c>
      <x:c r="I46" s="11" t="str">
        <x:f>IF(OR(F46="PENDING",H46="PENDING"),"PENDING",IF(F46="FAIL",IF(H46="PASS","WIN","STILL_FAIL"),IF(H46="FAIL","REGRESSION","STILL_PASS")))</x:f>
        <x:v>STILL_PASS</x:v>
      </x:c>
      <x:c r="J46" s="11" t="str"/>
      <x:c r="K46" s="11" t="str"/>
      <x:c r="L46" s="12" t="str"/>
      <x:c r="M46" s="12" t="str"/>
      <x:c r="N46" s="11" t="n">
        <x:f>IF(F46="PENDING","",IF(F46="PASS",1,0))</x:f>
        <x:v>1</x:v>
      </x:c>
      <x:c r="O46" s="11" t="n">
        <x:f>IF(H46="PENDING","",IF(H46="PASS",1,0))</x:f>
        <x:v>1</x:v>
      </x:c>
    </x:row>
    <x:row r="47" ht="55" customHeight="1">
      <x:c r="A47" s="11" t="str">
        <x:v>t041</x:v>
      </x:c>
      <x:c r="B47" s="11" t="str">
        <x:v>I can't believe the coffee maker I ordered came with a shattered carafe. What a letdown!</x:v>
      </x:c>
      <x:c r="C47" s="11" t="str">
        <x:v>product_issue</x:v>
      </x:c>
      <x:c r="D47" s="12" t="str">
        <x:v>product_issue</x:v>
      </x:c>
      <x:c r="E47" s="11" t="str">
        <x:v>product_issue</x:v>
      </x:c>
      <x:c r="F47" s="11" t="str">
        <x:f>IF(D47="","PENDING",IF(E47=D47,"PASS","FAIL"))</x:f>
        <x:v>PASS</x:v>
      </x:c>
      <x:c r="G47" s="11" t="str">
        <x:v>product_issue</x:v>
      </x:c>
      <x:c r="H47" s="11" t="str">
        <x:f>IF(D47="","PENDING",IF(G47=D47,"PASS","FAIL"))</x:f>
        <x:v>PASS</x:v>
      </x:c>
      <x:c r="I47" s="11" t="str">
        <x:f>IF(OR(F47="PENDING",H47="PENDING"),"PENDING",IF(F47="FAIL",IF(H47="PASS","WIN","STILL_FAIL"),IF(H47="FAIL","REGRESSION","STILL_PASS")))</x:f>
        <x:v>STILL_PASS</x:v>
      </x:c>
      <x:c r="J47" s="11" t="str"/>
      <x:c r="K47" s="11" t="str"/>
      <x:c r="L47" s="12" t="str"/>
      <x:c r="M47" s="12" t="str"/>
      <x:c r="N47" s="11" t="n">
        <x:f>IF(F47="PENDING","",IF(F47="PASS",1,0))</x:f>
        <x:v>1</x:v>
      </x:c>
      <x:c r="O47" s="11" t="n">
        <x:f>IF(H47="PENDING","",IF(H47="PASS",1,0))</x:f>
        <x:v>1</x:v>
      </x:c>
    </x:row>
    <x:row r="48" ht="55" customHeight="1">
      <x:c r="A48" s="11" t="str">
        <x:v>t042</x:v>
      </x:c>
      <x:c r="B48" s="11" t="str">
        <x:v>Hi, I received my coffee maker today, but the carafe is broken. I'm quite upset about this.</x:v>
      </x:c>
      <x:c r="C48" s="11" t="str">
        <x:v>product_issue</x:v>
      </x:c>
      <x:c r="D48" s="12" t="str">
        <x:v>product_issue</x:v>
      </x:c>
      <x:c r="E48" s="11" t="str">
        <x:v>product_issue</x:v>
      </x:c>
      <x:c r="F48" s="11" t="str">
        <x:f>IF(D48="","PENDING",IF(E48=D48,"PASS","FAIL"))</x:f>
        <x:v>PASS</x:v>
      </x:c>
      <x:c r="G48" s="11" t="str">
        <x:v>product_issue</x:v>
      </x:c>
      <x:c r="H48" s="11" t="str">
        <x:f>IF(D48="","PENDING",IF(G48=D48,"PASS","FAIL"))</x:f>
        <x:v>PASS</x:v>
      </x:c>
      <x:c r="I48" s="11" t="str">
        <x:f>IF(OR(F48="PENDING",H48="PENDING"),"PENDING",IF(F48="FAIL",IF(H48="PASS","WIN","STILL_FAIL"),IF(H48="FAIL","REGRESSION","STILL_PASS")))</x:f>
        <x:v>STILL_PASS</x:v>
      </x:c>
      <x:c r="J48" s="11" t="str"/>
      <x:c r="K48" s="11" t="str"/>
      <x:c r="L48" s="12" t="str"/>
      <x:c r="M48" s="12" t="str"/>
      <x:c r="N48" s="11" t="n">
        <x:f>IF(F48="PENDING","",IF(F48="PASS",1,0))</x:f>
        <x:v>1</x:v>
      </x:c>
      <x:c r="O48" s="11" t="n">
        <x:f>IF(H48="PENDING","",IF(H48="PASS",1,0))</x:f>
        <x:v>1</x:v>
      </x:c>
    </x:row>
    <x:row r="49" ht="55" customHeight="1">
      <x:c r="A49" s="11" t="str">
        <x:v>t043</x:v>
      </x:c>
      <x:c r="B49" s="11" t="str">
        <x:v>Order #12345 just arrived, and guess what? The carafe on the coffee maker is cracked. This is so disappointing!</x:v>
      </x:c>
      <x:c r="C49" s="11" t="str">
        <x:v>product_issue</x:v>
      </x:c>
      <x:c r="D49" s="12" t="str">
        <x:v>product_issue</x:v>
      </x:c>
      <x:c r="E49" s="11" t="str">
        <x:v>product_issue</x:v>
      </x:c>
      <x:c r="F49" s="11" t="str">
        <x:f>IF(D49="","PENDING",IF(E49=D49,"PASS","FAIL"))</x:f>
        <x:v>PASS</x:v>
      </x:c>
      <x:c r="G49" s="11" t="str">
        <x:v>product_issue</x:v>
      </x:c>
      <x:c r="H49" s="11" t="str">
        <x:f>IF(D49="","PENDING",IF(G49=D49,"PASS","FAIL"))</x:f>
        <x:v>PASS</x:v>
      </x:c>
      <x:c r="I49" s="11" t="str">
        <x:f>IF(OR(F49="PENDING",H49="PENDING"),"PENDING",IF(F49="FAIL",IF(H49="PASS","WIN","STILL_FAIL"),IF(H49="FAIL","REGRESSION","STILL_PASS")))</x:f>
        <x:v>STILL_PASS</x:v>
      </x:c>
      <x:c r="J49" s="11" t="str"/>
      <x:c r="K49" s="11" t="str"/>
      <x:c r="L49" s="12" t="str"/>
      <x:c r="M49" s="12" t="str"/>
      <x:c r="N49" s="11" t="n">
        <x:f>IF(F49="PENDING","",IF(F49="PASS",1,0))</x:f>
        <x:v>1</x:v>
      </x:c>
      <x:c r="O49" s="11" t="n">
        <x:f>IF(H49="PENDING","",IF(H49="PASS",1,0))</x:f>
        <x:v>1</x:v>
      </x:c>
    </x:row>
    <x:row r="50" ht="98" customHeight="1">
      <x:c r="A50" s="11" t="str">
        <x:v>t044</x:v>
      </x:c>
      <x:c r="B50" s="11" t="str">
        <x:v>My laptop arrived damaged and I want a full refund, not a replacement.</x:v>
      </x:c>
      <x:c r="C50" s="11" t="str">
        <x:v>product_issue</x:v>
      </x:c>
      <x:c r="D50" s="12" t="str">
        <x:v>product_issue</x:v>
      </x:c>
      <x:c r="E50" s="11" t="str">
        <x:v>refund_request</x:v>
      </x:c>
      <x:c r="F50" s="11" t="str">
        <x:f>IF(D50="","PENDING",IF(E50=D50,"PASS","FAIL"))</x:f>
        <x:v>FAIL</x:v>
      </x:c>
      <x:c r="G50" s="11" t="str">
        <x:v>product_issue</x:v>
      </x:c>
      <x:c r="H50" s="11" t="str">
        <x:f>IF(D50="","PENDING",IF(G50=D50,"PASS","FAIL"))</x:f>
        <x:v>PASS</x:v>
      </x:c>
      <x:c r="I50" s="11" t="str">
        <x:f>IF(OR(F50="PENDING",H50="PENDING"),"PENDING",IF(F50="FAIL",IF(H50="PASS","WIN","STILL_FAIL"),IF(H50="FAIL","REGRESSION","STILL_PASS")))</x:f>
        <x:v>WIN</x:v>
      </x:c>
      <x:c r="J50" s="11" t="str">
        <x:v>Requested remedy overrides underlying problem</x:v>
      </x:c>
      <x:c r="K50" s="11" t="str">
        <x:v>The ticket describes a damaged or broken laptop and requests a refund. The prediction follows the refund request; the supplied routing policy assigns the damaged item to product_issue.</x:v>
      </x:c>
      <x:c r="L50" s="12" t="str">
        <x:v>Draft explanation: The customer describes a damaged or broken laptop and requests a refund as the remedy. Under the current routing policy, the product problem determines product_issue. The baseline follows the refund wording and fails; the revised prediction is correct.</x:v>
      </x:c>
      <x:c r="M50" s="12" t="str">
        <x:v>Approved</x:v>
      </x:c>
      <x:c r="N50" s="11" t="n">
        <x:f>IF(F50="PENDING","",IF(F50="PASS",1,0))</x:f>
        <x:v>0</x:v>
      </x:c>
      <x:c r="O50" s="11" t="n">
        <x:f>IF(H50="PENDING","",IF(H50="PASS",1,0))</x:f>
        <x:v>1</x:v>
      </x:c>
    </x:row>
    <x:row r="51" ht="98" customHeight="1">
      <x:c r="A51" s="11" t="str">
        <x:v>t045</x:v>
      </x:c>
      <x:c r="B51" s="11" t="str">
        <x:v>I received my laptop in awful condition and I'm not interested in a replacement. I just want my money back, please.</x:v>
      </x:c>
      <x:c r="C51" s="11" t="str">
        <x:v>product_issue</x:v>
      </x:c>
      <x:c r="D51" s="12" t="str">
        <x:v>product_issue</x:v>
      </x:c>
      <x:c r="E51" s="11" t="str">
        <x:v>refund_request</x:v>
      </x:c>
      <x:c r="F51" s="11" t="str">
        <x:f>IF(D51="","PENDING",IF(E51=D51,"PASS","FAIL"))</x:f>
        <x:v>FAIL</x:v>
      </x:c>
      <x:c r="G51" s="11" t="str">
        <x:v>product_issue</x:v>
      </x:c>
      <x:c r="H51" s="11" t="str">
        <x:f>IF(D51="","PENDING",IF(G51=D51,"PASS","FAIL"))</x:f>
        <x:v>PASS</x:v>
      </x:c>
      <x:c r="I51" s="11" t="str">
        <x:f>IF(OR(F51="PENDING",H51="PENDING"),"PENDING",IF(F51="FAIL",IF(H51="PASS","WIN","STILL_FAIL"),IF(H51="FAIL","REGRESSION","STILL_PASS")))</x:f>
        <x:v>WIN</x:v>
      </x:c>
      <x:c r="J51" s="11" t="str">
        <x:v>Requested remedy overrides underlying problem</x:v>
      </x:c>
      <x:c r="K51" s="11" t="str">
        <x:v>The ticket describes a damaged or broken laptop and requests a refund. The prediction follows the refund request; the supplied routing policy assigns the damaged item to product_issue.</x:v>
      </x:c>
      <x:c r="L51" s="12" t="str">
        <x:v>damage. refund_issue
Draft explanation: The customer describes a damaged or broken laptop and requests a refund as the remedy. Under the current routing policy, the product problem determines product_issue. The baseline follows the refund wording and fails; the revised prediction is correct.</x:v>
      </x:c>
      <x:c r="M51" s="12" t="str">
        <x:v>Approved</x:v>
      </x:c>
      <x:c r="N51" s="11" t="n">
        <x:f>IF(F51="PENDING","",IF(F51="PASS",1,0))</x:f>
        <x:v>0</x:v>
      </x:c>
      <x:c r="O51" s="11" t="n">
        <x:f>IF(H51="PENDING","",IF(H51="PASS",1,0))</x:f>
        <x:v>1</x:v>
      </x:c>
    </x:row>
    <x:row r="52" ht="98" customHeight="1">
      <x:c r="A52" s="11" t="str">
        <x:v>t046</x:v>
      </x:c>
      <x:c r="B52" s="11" t="str">
        <x:v>Hey, my laptop showed up damaged, and I would prefer to get a full refund instead of receiving a new one.</x:v>
      </x:c>
      <x:c r="C52" s="11" t="str">
        <x:v>product_issue</x:v>
      </x:c>
      <x:c r="D52" s="12" t="str">
        <x:v>refund_request</x:v>
      </x:c>
      <x:c r="E52" s="11" t="str">
        <x:v>refund_request</x:v>
      </x:c>
      <x:c r="F52" s="11" t="str">
        <x:f>IF(D52="","PENDING",IF(E52=D52,"PASS","FAIL"))</x:f>
        <x:v>PASS</x:v>
      </x:c>
      <x:c r="G52" s="11" t="str">
        <x:v>product_issue</x:v>
      </x:c>
      <x:c r="H52" s="11" t="str">
        <x:f>IF(D52="","PENDING",IF(G52=D52,"PASS","FAIL"))</x:f>
        <x:v>FAIL</x:v>
      </x:c>
      <x:c r="I52" s="11" t="str">
        <x:f>IF(OR(F52="PENDING",H52="PENDING"),"PENDING",IF(F52="FAIL",IF(H52="PASS","WIN","STILL_FAIL"),IF(H52="FAIL","REGRESSION","STILL_PASS")))</x:f>
        <x:v>REGRESSION</x:v>
      </x:c>
      <x:c r="J52" s="11" t="str">
        <x:v>Requested remedy overrides underlying problem</x:v>
      </x:c>
      <x:c r="K52" s="11" t="str">
        <x:v>The ticket describes a damaged or broken laptop and requests a refund. The prediction follows the refund request; the supplied routing policy assigns the damaged item to product_issue.</x:v>
      </x:c>
      <x:c r="L52" s="12" t="str">
        <x:v>Draft explanation: The reviewed label was changed to refund_request for this damaged-laptop ticket. The baseline refund_request therefore passes and the focused product_issue prediction fails. The source policy instead prioritizes product damage; confirm this reviewed routing choice before approval.</x:v>
      </x:c>
      <x:c r="M52" s="12" t="str">
        <x:v>Approved</x:v>
      </x:c>
      <x:c r="N52" s="11" t="n">
        <x:f>IF(F52="PENDING","",IF(F52="PASS",1,0))</x:f>
        <x:v>1</x:v>
      </x:c>
      <x:c r="O52" s="11" t="n">
        <x:f>IF(H52="PENDING","",IF(H52="PASS",1,0))</x:f>
        <x:v>0</x:v>
      </x:c>
    </x:row>
    <x:row r="53" ht="98" customHeight="1">
      <x:c r="A53" s="11" t="str">
        <x:v>t047</x:v>
      </x:c>
      <x:c r="B53" s="11" t="str">
        <x:v>The laptop I ordered is broken, and I refuse to accept a replacement. I simply want a complete refund.</x:v>
      </x:c>
      <x:c r="C53" s="11" t="str">
        <x:v>product_issue</x:v>
      </x:c>
      <x:c r="D53" s="12" t="str">
        <x:v>product_issue</x:v>
      </x:c>
      <x:c r="E53" s="11" t="str">
        <x:v>refund_request</x:v>
      </x:c>
      <x:c r="F53" s="11" t="str">
        <x:f>IF(D53="","PENDING",IF(E53=D53,"PASS","FAIL"))</x:f>
        <x:v>FAIL</x:v>
      </x:c>
      <x:c r="G53" s="11" t="str">
        <x:v>product_issue</x:v>
      </x:c>
      <x:c r="H53" s="11" t="str">
        <x:f>IF(D53="","PENDING",IF(G53=D53,"PASS","FAIL"))</x:f>
        <x:v>PASS</x:v>
      </x:c>
      <x:c r="I53" s="11" t="str">
        <x:f>IF(OR(F53="PENDING",H53="PENDING"),"PENDING",IF(F53="FAIL",IF(H53="PASS","WIN","STILL_FAIL"),IF(H53="FAIL","REGRESSION","STILL_PASS")))</x:f>
        <x:v>WIN</x:v>
      </x:c>
      <x:c r="J53" s="11" t="str">
        <x:v>Requested remedy overrides underlying problem</x:v>
      </x:c>
      <x:c r="K53" s="11" t="str">
        <x:v>The ticket describes a damaged or broken laptop and requests a refund. The prediction follows the refund request; the supplied routing policy assigns the damaged item to product_issue.</x:v>
      </x:c>
      <x:c r="L53" s="12" t="str">
        <x:v>damage refund_issue
Draft explanation: The customer describes a damaged or broken laptop and requests a refund as the remedy. Under the current routing policy, the product problem determines product_issue. The baseline follows the refund wording and fails; the revised prediction is correct.</x:v>
      </x:c>
      <x:c r="M53" s="12" t="str">
        <x:v>Approved</x:v>
      </x:c>
      <x:c r="N53" s="11" t="n">
        <x:f>IF(F53="PENDING","",IF(F53="PASS",1,0))</x:f>
        <x:v>0</x:v>
      </x:c>
      <x:c r="O53" s="11" t="n">
        <x:f>IF(H53="PENDING","",IF(H53="PASS",1,0))</x:f>
        <x:v>1</x:v>
      </x:c>
    </x:row>
    <x:row r="54" ht="55" customHeight="1">
      <x:c r="A54" s="11" t="str">
        <x:v>t048</x:v>
      </x:c>
      <x:c r="B54" s="11" t="str">
        <x:v>You sent me a size medium shirt but I ordered a large. Second time this has happened.</x:v>
      </x:c>
      <x:c r="C54" s="11" t="str">
        <x:v>product_issue</x:v>
      </x:c>
      <x:c r="D54" s="12" t="str">
        <x:v>product_issue</x:v>
      </x:c>
      <x:c r="E54" s="11" t="str">
        <x:v>product_issue</x:v>
      </x:c>
      <x:c r="F54" s="11" t="str">
        <x:f>IF(D54="","PENDING",IF(E54=D54,"PASS","FAIL"))</x:f>
        <x:v>PASS</x:v>
      </x:c>
      <x:c r="G54" s="11" t="str">
        <x:v>product_issue</x:v>
      </x:c>
      <x:c r="H54" s="11" t="str">
        <x:f>IF(D54="","PENDING",IF(G54=D54,"PASS","FAIL"))</x:f>
        <x:v>PASS</x:v>
      </x:c>
      <x:c r="I54" s="11" t="str">
        <x:f>IF(OR(F54="PENDING",H54="PENDING"),"PENDING",IF(F54="FAIL",IF(H54="PASS","WIN","STILL_FAIL"),IF(H54="FAIL","REGRESSION","STILL_PASS")))</x:f>
        <x:v>STILL_PASS</x:v>
      </x:c>
      <x:c r="J54" s="11" t="str"/>
      <x:c r="K54" s="11" t="str"/>
      <x:c r="L54" s="12" t="str"/>
      <x:c r="M54" s="12" t="str"/>
      <x:c r="N54" s="11" t="n">
        <x:f>IF(F54="PENDING","",IF(F54="PASS",1,0))</x:f>
        <x:v>1</x:v>
      </x:c>
      <x:c r="O54" s="11" t="n">
        <x:f>IF(H54="PENDING","",IF(H54="PASS",1,0))</x:f>
        <x:v>1</x:v>
      </x:c>
    </x:row>
    <x:row r="55" ht="55" customHeight="1">
      <x:c r="A55" s="11" t="str">
        <x:v>t049</x:v>
      </x:c>
      <x:c r="B55" s="11" t="str">
        <x:v>I'm really frustrated because you sent me a medium shirt instead of the large I ordered. This is the second time I've experienced this issue!</x:v>
      </x:c>
      <x:c r="C55" s="11" t="str">
        <x:v>product_issue</x:v>
      </x:c>
      <x:c r="D55" s="12" t="str">
        <x:v>product_issue</x:v>
      </x:c>
      <x:c r="E55" s="11" t="str">
        <x:v>product_issue</x:v>
      </x:c>
      <x:c r="F55" s="11" t="str">
        <x:f>IF(D55="","PENDING",IF(E55=D55,"PASS","FAIL"))</x:f>
        <x:v>PASS</x:v>
      </x:c>
      <x:c r="G55" s="11" t="str">
        <x:v>product_issue</x:v>
      </x:c>
      <x:c r="H55" s="11" t="str">
        <x:f>IF(D55="","PENDING",IF(G55=D55,"PASS","FAIL"))</x:f>
        <x:v>PASS</x:v>
      </x:c>
      <x:c r="I55" s="11" t="str">
        <x:f>IF(OR(F55="PENDING",H55="PENDING"),"PENDING",IF(F55="FAIL",IF(H55="PASS","WIN","STILL_FAIL"),IF(H55="FAIL","REGRESSION","STILL_PASS")))</x:f>
        <x:v>STILL_PASS</x:v>
      </x:c>
      <x:c r="J55" s="11" t="str"/>
      <x:c r="K55" s="11" t="str"/>
      <x:c r="L55" s="12" t="str"/>
      <x:c r="M55" s="12" t="str"/>
      <x:c r="N55" s="11" t="n">
        <x:f>IF(F55="PENDING","",IF(F55="PASS",1,0))</x:f>
        <x:v>1</x:v>
      </x:c>
      <x:c r="O55" s="11" t="n">
        <x:f>IF(H55="PENDING","",IF(H55="PASS",1,0))</x:f>
        <x:v>1</x:v>
      </x:c>
    </x:row>
    <x:row r="56" ht="55" customHeight="1">
      <x:c r="A56" s="11" t="str">
        <x:v>t050</x:v>
      </x:c>
      <x:c r="B56" s="11" t="str">
        <x:v>I've received a medium shirt when I clearly ordered a large. This is getting ridiculous; it's already happened once before!</x:v>
      </x:c>
      <x:c r="C56" s="11" t="str">
        <x:v>product_issue</x:v>
      </x:c>
      <x:c r="D56" s="12" t="str">
        <x:v>product_issue</x:v>
      </x:c>
      <x:c r="E56" s="11" t="str">
        <x:v>product_issue</x:v>
      </x:c>
      <x:c r="F56" s="11" t="str">
        <x:f>IF(D56="","PENDING",IF(E56=D56,"PASS","FAIL"))</x:f>
        <x:v>PASS</x:v>
      </x:c>
      <x:c r="G56" s="11" t="str">
        <x:v>product_issue</x:v>
      </x:c>
      <x:c r="H56" s="11" t="str">
        <x:f>IF(D56="","PENDING",IF(G56=D56,"PASS","FAIL"))</x:f>
        <x:v>PASS</x:v>
      </x:c>
      <x:c r="I56" s="11" t="str">
        <x:f>IF(OR(F56="PENDING",H56="PENDING"),"PENDING",IF(F56="FAIL",IF(H56="PASS","WIN","STILL_FAIL"),IF(H56="FAIL","REGRESSION","STILL_PASS")))</x:f>
        <x:v>STILL_PASS</x:v>
      </x:c>
      <x:c r="J56" s="11" t="str"/>
      <x:c r="K56" s="11" t="str"/>
      <x:c r="L56" s="12" t="str"/>
      <x:c r="M56" s="12" t="str"/>
      <x:c r="N56" s="11" t="n">
        <x:f>IF(F56="PENDING","",IF(F56="PASS",1,0))</x:f>
        <x:v>1</x:v>
      </x:c>
      <x:c r="O56" s="11" t="n">
        <x:f>IF(H56="PENDING","",IF(H56="PASS",1,0))</x:f>
        <x:v>1</x:v>
      </x:c>
    </x:row>
    <x:row r="57" ht="55" customHeight="1">
      <x:c r="A57" s="11" t="str">
        <x:v>t051</x:v>
      </x:c>
      <x:c r="B57" s="11" t="str">
        <x:v>It’s unfortunate that I was sent a medium shirt instead of the large I requested. This is the second occurrence of this problem and it’s quite disappointing.</x:v>
      </x:c>
      <x:c r="C57" s="11" t="str">
        <x:v>product_issue</x:v>
      </x:c>
      <x:c r="D57" s="12" t="str">
        <x:v>product_issue</x:v>
      </x:c>
      <x:c r="E57" s="11" t="str">
        <x:v>product_issue</x:v>
      </x:c>
      <x:c r="F57" s="11" t="str">
        <x:f>IF(D57="","PENDING",IF(E57=D57,"PASS","FAIL"))</x:f>
        <x:v>PASS</x:v>
      </x:c>
      <x:c r="G57" s="11" t="str">
        <x:v>product_issue</x:v>
      </x:c>
      <x:c r="H57" s="11" t="str">
        <x:f>IF(D57="","PENDING",IF(G57=D57,"PASS","FAIL"))</x:f>
        <x:v>PASS</x:v>
      </x:c>
      <x:c r="I57" s="11" t="str">
        <x:f>IF(OR(F57="PENDING",H57="PENDING"),"PENDING",IF(F57="FAIL",IF(H57="PASS","WIN","STILL_FAIL"),IF(H57="FAIL","REGRESSION","STILL_PASS")))</x:f>
        <x:v>STILL_PASS</x:v>
      </x:c>
      <x:c r="J57" s="11" t="str"/>
      <x:c r="K57" s="11" t="str"/>
      <x:c r="L57" s="12" t="str"/>
      <x:c r="M57" s="12" t="str"/>
      <x:c r="N57" s="11" t="n">
        <x:f>IF(F57="PENDING","",IF(F57="PASS",1,0))</x:f>
        <x:v>1</x:v>
      </x:c>
      <x:c r="O57" s="11" t="n">
        <x:f>IF(H57="PENDING","",IF(H57="PASS",1,0))</x:f>
        <x:v>1</x:v>
      </x:c>
    </x:row>
    <x:row r="58" ht="55" customHeight="1">
      <x:c r="A58" s="11" t="str">
        <x:v>t052</x:v>
      </x:c>
      <x:c r="B58" s="11" t="str">
        <x:v>The product description said 'wireless' but I had to buy a separate dongle to use it. Misleading.</x:v>
      </x:c>
      <x:c r="C58" s="11" t="str">
        <x:v>product_issue</x:v>
      </x:c>
      <x:c r="D58" s="12" t="str">
        <x:v>product_issue</x:v>
      </x:c>
      <x:c r="E58" s="11" t="str">
        <x:v>product_issue</x:v>
      </x:c>
      <x:c r="F58" s="11" t="str">
        <x:f>IF(D58="","PENDING",IF(E58=D58,"PASS","FAIL"))</x:f>
        <x:v>PASS</x:v>
      </x:c>
      <x:c r="G58" s="11" t="str">
        <x:v>product_issue</x:v>
      </x:c>
      <x:c r="H58" s="11" t="str">
        <x:f>IF(D58="","PENDING",IF(G58=D58,"PASS","FAIL"))</x:f>
        <x:v>PASS</x:v>
      </x:c>
      <x:c r="I58" s="11" t="str">
        <x:f>IF(OR(F58="PENDING",H58="PENDING"),"PENDING",IF(F58="FAIL",IF(H58="PASS","WIN","STILL_FAIL"),IF(H58="FAIL","REGRESSION","STILL_PASS")))</x:f>
        <x:v>STILL_PASS</x:v>
      </x:c>
      <x:c r="J58" s="11" t="str"/>
      <x:c r="K58" s="11" t="str"/>
      <x:c r="L58" s="12" t="str"/>
      <x:c r="M58" s="12" t="str"/>
      <x:c r="N58" s="11" t="n">
        <x:f>IF(F58="PENDING","",IF(F58="PASS",1,0))</x:f>
        <x:v>1</x:v>
      </x:c>
      <x:c r="O58" s="11" t="n">
        <x:f>IF(H58="PENDING","",IF(H58="PASS",1,0))</x:f>
        <x:v>1</x:v>
      </x:c>
    </x:row>
    <x:row r="59" ht="55" customHeight="1">
      <x:c r="A59" s="11" t="str">
        <x:v>t053</x:v>
      </x:c>
      <x:c r="B59" s="11" t="str">
        <x:v>I can't believe the product is advertised as 'wireless' and yet I needed to purchase an additional dongle to make it work. This feels very misleading.</x:v>
      </x:c>
      <x:c r="C59" s="11" t="str">
        <x:v>product_issue</x:v>
      </x:c>
      <x:c r="D59" s="12" t="str">
        <x:v>product_issue</x:v>
      </x:c>
      <x:c r="E59" s="11" t="str">
        <x:v>product_issue</x:v>
      </x:c>
      <x:c r="F59" s="11" t="str">
        <x:f>IF(D59="","PENDING",IF(E59=D59,"PASS","FAIL"))</x:f>
        <x:v>PASS</x:v>
      </x:c>
      <x:c r="G59" s="11" t="str">
        <x:v>product_issue</x:v>
      </x:c>
      <x:c r="H59" s="11" t="str">
        <x:f>IF(D59="","PENDING",IF(G59=D59,"PASS","FAIL"))</x:f>
        <x:v>PASS</x:v>
      </x:c>
      <x:c r="I59" s="11" t="str">
        <x:f>IF(OR(F59="PENDING",H59="PENDING"),"PENDING",IF(F59="FAIL",IF(H59="PASS","WIN","STILL_FAIL"),IF(H59="FAIL","REGRESSION","STILL_PASS")))</x:f>
        <x:v>STILL_PASS</x:v>
      </x:c>
      <x:c r="J59" s="11" t="str"/>
      <x:c r="K59" s="11" t="str"/>
      <x:c r="L59" s="12" t="str"/>
      <x:c r="M59" s="12" t="str"/>
      <x:c r="N59" s="11" t="n">
        <x:f>IF(F59="PENDING","",IF(F59="PASS",1,0))</x:f>
        <x:v>1</x:v>
      </x:c>
      <x:c r="O59" s="11" t="n">
        <x:f>IF(H59="PENDING","",IF(H59="PASS",1,0))</x:f>
        <x:v>1</x:v>
      </x:c>
    </x:row>
    <x:row r="60" ht="55" customHeight="1">
      <x:c r="A60" s="11" t="str">
        <x:v>t054</x:v>
      </x:c>
      <x:c r="B60" s="11" t="str">
        <x:v>I thought I was getting a wireless device, but I had to go and buy a dongle separately just to use it. This is quite deceiving.</x:v>
      </x:c>
      <x:c r="C60" s="11" t="str">
        <x:v>product_issue</x:v>
      </x:c>
      <x:c r="D60" s="12" t="str">
        <x:v>product_issue</x:v>
      </x:c>
      <x:c r="E60" s="11" t="str">
        <x:v>product_issue</x:v>
      </x:c>
      <x:c r="F60" s="11" t="str">
        <x:f>IF(D60="","PENDING",IF(E60=D60,"PASS","FAIL"))</x:f>
        <x:v>PASS</x:v>
      </x:c>
      <x:c r="G60" s="11" t="str">
        <x:v>product_issue</x:v>
      </x:c>
      <x:c r="H60" s="11" t="str">
        <x:f>IF(D60="","PENDING",IF(G60=D60,"PASS","FAIL"))</x:f>
        <x:v>PASS</x:v>
      </x:c>
      <x:c r="I60" s="11" t="str">
        <x:f>IF(OR(F60="PENDING",H60="PENDING"),"PENDING",IF(F60="FAIL",IF(H60="PASS","WIN","STILL_FAIL"),IF(H60="FAIL","REGRESSION","STILL_PASS")))</x:f>
        <x:v>STILL_PASS</x:v>
      </x:c>
      <x:c r="J60" s="11" t="str"/>
      <x:c r="K60" s="11" t="str"/>
      <x:c r="L60" s="12" t="str"/>
      <x:c r="M60" s="12" t="str"/>
      <x:c r="N60" s="11" t="n">
        <x:f>IF(F60="PENDING","",IF(F60="PASS",1,0))</x:f>
        <x:v>1</x:v>
      </x:c>
      <x:c r="O60" s="11" t="n">
        <x:f>IF(H60="PENDING","",IF(H60="PASS",1,0))</x:f>
        <x:v>1</x:v>
      </x:c>
    </x:row>
    <x:row r="61" ht="55" customHeight="1">
      <x:c r="A61" s="11" t="str">
        <x:v>t055</x:v>
      </x:c>
      <x:c r="B61" s="11" t="str">
        <x:v>It's frustrating to see that the item I ordered, which was labeled as 'wireless', actually requires a separate dongle to function. That's definitely not what I expected.</x:v>
      </x:c>
      <x:c r="C61" s="11" t="str">
        <x:v>product_issue</x:v>
      </x:c>
      <x:c r="D61" s="12" t="str">
        <x:v>product_issue</x:v>
      </x:c>
      <x:c r="E61" s="11" t="str">
        <x:v>product_issue</x:v>
      </x:c>
      <x:c r="F61" s="11" t="str">
        <x:f>IF(D61="","PENDING",IF(E61=D61,"PASS","FAIL"))</x:f>
        <x:v>PASS</x:v>
      </x:c>
      <x:c r="G61" s="11" t="str">
        <x:v>product_issue</x:v>
      </x:c>
      <x:c r="H61" s="11" t="str">
        <x:f>IF(D61="","PENDING",IF(G61=D61,"PASS","FAIL"))</x:f>
        <x:v>PASS</x:v>
      </x:c>
      <x:c r="I61" s="11" t="str">
        <x:f>IF(OR(F61="PENDING",H61="PENDING"),"PENDING",IF(F61="FAIL",IF(H61="PASS","WIN","STILL_FAIL"),IF(H61="FAIL","REGRESSION","STILL_PASS")))</x:f>
        <x:v>STILL_PASS</x:v>
      </x:c>
      <x:c r="J61" s="11" t="str"/>
      <x:c r="K61" s="11" t="str"/>
      <x:c r="L61" s="12" t="str"/>
      <x:c r="M61" s="12" t="str"/>
      <x:c r="N61" s="11" t="n">
        <x:f>IF(F61="PENDING","",IF(F61="PASS",1,0))</x:f>
        <x:v>1</x:v>
      </x:c>
      <x:c r="O61" s="11" t="n">
        <x:f>IF(H61="PENDING","",IF(H61="PASS",1,0))</x:f>
        <x:v>1</x:v>
      </x:c>
    </x:row>
    <x:row r="62" ht="55" customHeight="1">
      <x:c r="A62" s="11" t="str">
        <x:v>t056</x:v>
      </x:c>
      <x:c r="B62" s="11" t="str">
        <x:v>Item itself works fine but the box was crushed and the instruction manual is missing.</x:v>
      </x:c>
      <x:c r="C62" s="11" t="str">
        <x:v>product_issue</x:v>
      </x:c>
      <x:c r="D62" s="12" t="str">
        <x:v>product_issue</x:v>
      </x:c>
      <x:c r="E62" s="11" t="str">
        <x:v>product_issue</x:v>
      </x:c>
      <x:c r="F62" s="11" t="str">
        <x:f>IF(D62="","PENDING",IF(E62=D62,"PASS","FAIL"))</x:f>
        <x:v>PASS</x:v>
      </x:c>
      <x:c r="G62" s="11" t="str">
        <x:v>product_issue</x:v>
      </x:c>
      <x:c r="H62" s="11" t="str">
        <x:f>IF(D62="","PENDING",IF(G62=D62,"PASS","FAIL"))</x:f>
        <x:v>PASS</x:v>
      </x:c>
      <x:c r="I62" s="11" t="str">
        <x:f>IF(OR(F62="PENDING",H62="PENDING"),"PENDING",IF(F62="FAIL",IF(H62="PASS","WIN","STILL_FAIL"),IF(H62="FAIL","REGRESSION","STILL_PASS")))</x:f>
        <x:v>STILL_PASS</x:v>
      </x:c>
      <x:c r="J62" s="11" t="str"/>
      <x:c r="K62" s="11" t="str"/>
      <x:c r="L62" s="12" t="str"/>
      <x:c r="M62" s="12" t="str"/>
      <x:c r="N62" s="11" t="n">
        <x:f>IF(F62="PENDING","",IF(F62="PASS",1,0))</x:f>
        <x:v>1</x:v>
      </x:c>
      <x:c r="O62" s="11" t="n">
        <x:f>IF(H62="PENDING","",IF(H62="PASS",1,0))</x:f>
        <x:v>1</x:v>
      </x:c>
    </x:row>
    <x:row r="63" ht="55" customHeight="1">
      <x:c r="A63" s="11" t="str">
        <x:v>t057</x:v>
      </x:c>
      <x:c r="B63" s="11" t="str">
        <x:v>The item is functional, but the package arrived damaged, and there's no instruction manual included.</x:v>
      </x:c>
      <x:c r="C63" s="11" t="str">
        <x:v>product_issue</x:v>
      </x:c>
      <x:c r="D63" s="12" t="str">
        <x:v>product_issue</x:v>
      </x:c>
      <x:c r="E63" s="11" t="str">
        <x:v>product_issue</x:v>
      </x:c>
      <x:c r="F63" s="11" t="str">
        <x:f>IF(D63="","PENDING",IF(E63=D63,"PASS","FAIL"))</x:f>
        <x:v>PASS</x:v>
      </x:c>
      <x:c r="G63" s="11" t="str">
        <x:v>product_issue</x:v>
      </x:c>
      <x:c r="H63" s="11" t="str">
        <x:f>IF(D63="","PENDING",IF(G63=D63,"PASS","FAIL"))</x:f>
        <x:v>PASS</x:v>
      </x:c>
      <x:c r="I63" s="11" t="str">
        <x:f>IF(OR(F63="PENDING",H63="PENDING"),"PENDING",IF(F63="FAIL",IF(H63="PASS","WIN","STILL_FAIL"),IF(H63="FAIL","REGRESSION","STILL_PASS")))</x:f>
        <x:v>STILL_PASS</x:v>
      </x:c>
      <x:c r="J63" s="11" t="str"/>
      <x:c r="K63" s="11" t="str"/>
      <x:c r="L63" s="12" t="str"/>
      <x:c r="M63" s="12" t="str"/>
      <x:c r="N63" s="11" t="n">
        <x:f>IF(F63="PENDING","",IF(F63="PASS",1,0))</x:f>
        <x:v>1</x:v>
      </x:c>
      <x:c r="O63" s="11" t="n">
        <x:f>IF(H63="PENDING","",IF(H63="PASS",1,0))</x:f>
        <x:v>1</x:v>
      </x:c>
    </x:row>
    <x:row r="64" ht="55" customHeight="1">
      <x:c r="A64" s="11" t="str">
        <x:v>t058</x:v>
      </x:c>
      <x:c r="B64" s="11" t="str">
        <x:v>I received my order, and while the product itself is okay, the box is all smashed up, and I can't find the instructions anywhere.</x:v>
      </x:c>
      <x:c r="C64" s="11" t="str">
        <x:v>product_issue</x:v>
      </x:c>
      <x:c r="D64" s="12" t="str">
        <x:v>product_issue</x:v>
      </x:c>
      <x:c r="E64" s="11" t="str">
        <x:v>product_issue</x:v>
      </x:c>
      <x:c r="F64" s="11" t="str">
        <x:f>IF(D64="","PENDING",IF(E64=D64,"PASS","FAIL"))</x:f>
        <x:v>PASS</x:v>
      </x:c>
      <x:c r="G64" s="11" t="str">
        <x:v>product_issue</x:v>
      </x:c>
      <x:c r="H64" s="11" t="str">
        <x:f>IF(D64="","PENDING",IF(G64=D64,"PASS","FAIL"))</x:f>
        <x:v>PASS</x:v>
      </x:c>
      <x:c r="I64" s="11" t="str">
        <x:f>IF(OR(F64="PENDING",H64="PENDING"),"PENDING",IF(F64="FAIL",IF(H64="PASS","WIN","STILL_FAIL"),IF(H64="FAIL","REGRESSION","STILL_PASS")))</x:f>
        <x:v>STILL_PASS</x:v>
      </x:c>
      <x:c r="J64" s="11" t="str"/>
      <x:c r="K64" s="11" t="str"/>
      <x:c r="L64" s="12" t="str"/>
      <x:c r="M64" s="12" t="str"/>
      <x:c r="N64" s="11" t="n">
        <x:f>IF(F64="PENDING","",IF(F64="PASS",1,0))</x:f>
        <x:v>1</x:v>
      </x:c>
      <x:c r="O64" s="11" t="n">
        <x:f>IF(H64="PENDING","",IF(H64="PASS",1,0))</x:f>
        <x:v>1</x:v>
      </x:c>
    </x:row>
    <x:row r="65" ht="55" customHeight="1">
      <x:c r="A65" s="11" t="str">
        <x:v>t059</x:v>
      </x:c>
      <x:c r="B65" s="11" t="str">
        <x:v>The item works great, but I'm really disappointed that the box is completely wrecked and I didn’t get the manual.</x:v>
      </x:c>
      <x:c r="C65" s="11" t="str">
        <x:v>product_issue</x:v>
      </x:c>
      <x:c r="D65" s="12" t="str">
        <x:v>product_issue</x:v>
      </x:c>
      <x:c r="E65" s="11" t="str">
        <x:v>product_issue</x:v>
      </x:c>
      <x:c r="F65" s="11" t="str">
        <x:f>IF(D65="","PENDING",IF(E65=D65,"PASS","FAIL"))</x:f>
        <x:v>PASS</x:v>
      </x:c>
      <x:c r="G65" s="11" t="str">
        <x:v>product_issue</x:v>
      </x:c>
      <x:c r="H65" s="11" t="str">
        <x:f>IF(D65="","PENDING",IF(G65=D65,"PASS","FAIL"))</x:f>
        <x:v>PASS</x:v>
      </x:c>
      <x:c r="I65" s="11" t="str">
        <x:f>IF(OR(F65="PENDING",H65="PENDING"),"PENDING",IF(F65="FAIL",IF(H65="PASS","WIN","STILL_FAIL"),IF(H65="FAIL","REGRESSION","STILL_PASS")))</x:f>
        <x:v>STILL_PASS</x:v>
      </x:c>
      <x:c r="J65" s="11" t="str"/>
      <x:c r="K65" s="11" t="str"/>
      <x:c r="L65" s="12" t="str"/>
      <x:c r="M65" s="12" t="str"/>
      <x:c r="N65" s="11" t="n">
        <x:f>IF(F65="PENDING","",IF(F65="PASS",1,0))</x:f>
        <x:v>1</x:v>
      </x:c>
      <x:c r="O65" s="11" t="n">
        <x:f>IF(H65="PENDING","",IF(H65="PASS",1,0))</x:f>
        <x:v>1</x:v>
      </x:c>
    </x:row>
    <x:row r="66" ht="55" customHeight="1">
      <x:c r="A66" s="11" t="str">
        <x:v>t060</x:v>
      </x:c>
      <x:c r="B66" s="11" t="str">
        <x:v>I can't log into my account — it keeps saying my password is wrong even after I reset it.</x:v>
      </x:c>
      <x:c r="C66" s="11" t="str">
        <x:v>account_help</x:v>
      </x:c>
      <x:c r="D66" s="12" t="str">
        <x:v>account_help</x:v>
      </x:c>
      <x:c r="E66" s="11" t="str">
        <x:v>account_help</x:v>
      </x:c>
      <x:c r="F66" s="11" t="str">
        <x:f>IF(D66="","PENDING",IF(E66=D66,"PASS","FAIL"))</x:f>
        <x:v>PASS</x:v>
      </x:c>
      <x:c r="G66" s="11" t="str">
        <x:v>account_help</x:v>
      </x:c>
      <x:c r="H66" s="11" t="str">
        <x:f>IF(D66="","PENDING",IF(G66=D66,"PASS","FAIL"))</x:f>
        <x:v>PASS</x:v>
      </x:c>
      <x:c r="I66" s="11" t="str">
        <x:f>IF(OR(F66="PENDING",H66="PENDING"),"PENDING",IF(F66="FAIL",IF(H66="PASS","WIN","STILL_FAIL"),IF(H66="FAIL","REGRESSION","STILL_PASS")))</x:f>
        <x:v>STILL_PASS</x:v>
      </x:c>
      <x:c r="J66" s="11" t="str"/>
      <x:c r="K66" s="11" t="str"/>
      <x:c r="L66" s="12" t="str"/>
      <x:c r="M66" s="12" t="str"/>
      <x:c r="N66" s="11" t="n">
        <x:f>IF(F66="PENDING","",IF(F66="PASS",1,0))</x:f>
        <x:v>1</x:v>
      </x:c>
      <x:c r="O66" s="11" t="n">
        <x:f>IF(H66="PENDING","",IF(H66="PASS",1,0))</x:f>
        <x:v>1</x:v>
      </x:c>
    </x:row>
    <x:row r="67" ht="55" customHeight="1">
      <x:c r="A67" s="11" t="str">
        <x:v>t061</x:v>
      </x:c>
      <x:c r="B67" s="11" t="str">
        <x:v>I've been trying to log into my account, but every time I do, it tells me my password is incorrect, even though I just reset it! This is so frustrating!</x:v>
      </x:c>
      <x:c r="C67" s="11" t="str">
        <x:v>account_help</x:v>
      </x:c>
      <x:c r="D67" s="12" t="str">
        <x:v>account_help</x:v>
      </x:c>
      <x:c r="E67" s="11" t="str">
        <x:v>account_help</x:v>
      </x:c>
      <x:c r="F67" s="11" t="str">
        <x:f>IF(D67="","PENDING",IF(E67=D67,"PASS","FAIL"))</x:f>
        <x:v>PASS</x:v>
      </x:c>
      <x:c r="G67" s="11" t="str">
        <x:v>account_help</x:v>
      </x:c>
      <x:c r="H67" s="11" t="str">
        <x:f>IF(D67="","PENDING",IF(G67=D67,"PASS","FAIL"))</x:f>
        <x:v>PASS</x:v>
      </x:c>
      <x:c r="I67" s="11" t="str">
        <x:f>IF(OR(F67="PENDING",H67="PENDING"),"PENDING",IF(F67="FAIL",IF(H67="PASS","WIN","STILL_FAIL"),IF(H67="FAIL","REGRESSION","STILL_PASS")))</x:f>
        <x:v>STILL_PASS</x:v>
      </x:c>
      <x:c r="J67" s="11" t="str"/>
      <x:c r="K67" s="11" t="str"/>
      <x:c r="L67" s="12" t="str"/>
      <x:c r="M67" s="12" t="str"/>
      <x:c r="N67" s="11" t="n">
        <x:f>IF(F67="PENDING","",IF(F67="PASS",1,0))</x:f>
        <x:v>1</x:v>
      </x:c>
      <x:c r="O67" s="11" t="n">
        <x:f>IF(H67="PENDING","",IF(H67="PASS",1,0))</x:f>
        <x:v>1</x:v>
      </x:c>
    </x:row>
    <x:row r="68" ht="55" customHeight="1">
      <x:c r="A68" s="11" t="str">
        <x:v>t062</x:v>
      </x:c>
      <x:c r="B68" s="11" t="str">
        <x:v>Hello, I'm having trouble accessing my account. It keeps rejecting my password, despite the fact that I recently reset it. Could you please assist?</x:v>
      </x:c>
      <x:c r="C68" s="11" t="str">
        <x:v>account_help</x:v>
      </x:c>
      <x:c r="D68" s="12" t="str">
        <x:v>account_help</x:v>
      </x:c>
      <x:c r="E68" s="11" t="str">
        <x:v>account_help</x:v>
      </x:c>
      <x:c r="F68" s="11" t="str">
        <x:f>IF(D68="","PENDING",IF(E68=D68,"PASS","FAIL"))</x:f>
        <x:v>PASS</x:v>
      </x:c>
      <x:c r="G68" s="11" t="str">
        <x:v>account_help</x:v>
      </x:c>
      <x:c r="H68" s="11" t="str">
        <x:f>IF(D68="","PENDING",IF(G68=D68,"PASS","FAIL"))</x:f>
        <x:v>PASS</x:v>
      </x:c>
      <x:c r="I68" s="11" t="str">
        <x:f>IF(OR(F68="PENDING",H68="PENDING"),"PENDING",IF(F68="FAIL",IF(H68="PASS","WIN","STILL_FAIL"),IF(H68="FAIL","REGRESSION","STILL_PASS")))</x:f>
        <x:v>STILL_PASS</x:v>
      </x:c>
      <x:c r="J68" s="11" t="str"/>
      <x:c r="K68" s="11" t="str"/>
      <x:c r="L68" s="12" t="str"/>
      <x:c r="M68" s="12" t="str"/>
      <x:c r="N68" s="11" t="n">
        <x:f>IF(F68="PENDING","",IF(F68="PASS",1,0))</x:f>
        <x:v>1</x:v>
      </x:c>
      <x:c r="O68" s="11" t="n">
        <x:f>IF(H68="PENDING","",IF(H68="PASS",1,0))</x:f>
        <x:v>1</x:v>
      </x:c>
    </x:row>
    <x:row r="69" ht="55" customHeight="1">
      <x:c r="A69" s="11" t="str">
        <x:v>t063</x:v>
      </x:c>
      <x:c r="B69" s="11" t="str">
        <x:v>Ugh, I can't seem to get into my account — it keeps claiming my password is invalid, even though I just changed it. What’s going on?</x:v>
      </x:c>
      <x:c r="C69" s="11" t="str">
        <x:v>account_help</x:v>
      </x:c>
      <x:c r="D69" s="12" t="str">
        <x:v>account_help</x:v>
      </x:c>
      <x:c r="E69" s="11" t="str">
        <x:v>account_help</x:v>
      </x:c>
      <x:c r="F69" s="11" t="str">
        <x:f>IF(D69="","PENDING",IF(E69=D69,"PASS","FAIL"))</x:f>
        <x:v>PASS</x:v>
      </x:c>
      <x:c r="G69" s="11" t="str">
        <x:v>account_help</x:v>
      </x:c>
      <x:c r="H69" s="11" t="str">
        <x:f>IF(D69="","PENDING",IF(G69=D69,"PASS","FAIL"))</x:f>
        <x:v>PASS</x:v>
      </x:c>
      <x:c r="I69" s="11" t="str">
        <x:f>IF(OR(F69="PENDING",H69="PENDING"),"PENDING",IF(F69="FAIL",IF(H69="PASS","WIN","STILL_FAIL"),IF(H69="FAIL","REGRESSION","STILL_PASS")))</x:f>
        <x:v>STILL_PASS</x:v>
      </x:c>
      <x:c r="J69" s="11" t="str"/>
      <x:c r="K69" s="11" t="str"/>
      <x:c r="L69" s="12" t="str"/>
      <x:c r="M69" s="12" t="str"/>
      <x:c r="N69" s="11" t="n">
        <x:f>IF(F69="PENDING","",IF(F69="PASS",1,0))</x:f>
        <x:v>1</x:v>
      </x:c>
      <x:c r="O69" s="11" t="n">
        <x:f>IF(H69="PENDING","",IF(H69="PASS",1,0))</x:f>
        <x:v>1</x:v>
      </x:c>
    </x:row>
    <x:row r="70" ht="55" customHeight="1">
      <x:c r="A70" s="11" t="str">
        <x:v>t064</x:v>
      </x:c>
      <x:c r="B70" s="11" t="str">
        <x:v>How do I update the credit card on file? I don't see the option anywhere in settings.</x:v>
      </x:c>
      <x:c r="C70" s="11" t="str">
        <x:v>account_help</x:v>
      </x:c>
      <x:c r="D70" s="12" t="str">
        <x:v>account_help</x:v>
      </x:c>
      <x:c r="E70" s="11" t="str">
        <x:v>account_help</x:v>
      </x:c>
      <x:c r="F70" s="11" t="str">
        <x:f>IF(D70="","PENDING",IF(E70=D70,"PASS","FAIL"))</x:f>
        <x:v>PASS</x:v>
      </x:c>
      <x:c r="G70" s="11" t="str">
        <x:v>account_help</x:v>
      </x:c>
      <x:c r="H70" s="11" t="str">
        <x:f>IF(D70="","PENDING",IF(G70=D70,"PASS","FAIL"))</x:f>
        <x:v>PASS</x:v>
      </x:c>
      <x:c r="I70" s="11" t="str">
        <x:f>IF(OR(F70="PENDING",H70="PENDING"),"PENDING",IF(F70="FAIL",IF(H70="PASS","WIN","STILL_FAIL"),IF(H70="FAIL","REGRESSION","STILL_PASS")))</x:f>
        <x:v>STILL_PASS</x:v>
      </x:c>
      <x:c r="J70" s="11" t="str"/>
      <x:c r="K70" s="11" t="str"/>
      <x:c r="L70" s="12" t="str"/>
      <x:c r="M70" s="12" t="str"/>
      <x:c r="N70" s="11" t="n">
        <x:f>IF(F70="PENDING","",IF(F70="PASS",1,0))</x:f>
        <x:v>1</x:v>
      </x:c>
      <x:c r="O70" s="11" t="n">
        <x:f>IF(H70="PENDING","",IF(H70="PASS",1,0))</x:f>
        <x:v>1</x:v>
      </x:c>
    </x:row>
    <x:row r="71" ht="55" customHeight="1">
      <x:c r="A71" s="11" t="str">
        <x:v>t065</x:v>
      </x:c>
      <x:c r="B71" s="11" t="str">
        <x:v>I've been trying to figure out how to change my credit card info, but honestly, I can't find any option for it in the settings. Can someone help?</x:v>
      </x:c>
      <x:c r="C71" s="11" t="str">
        <x:v>account_help</x:v>
      </x:c>
      <x:c r="D71" s="12" t="str">
        <x:v>account_help</x:v>
      </x:c>
      <x:c r="E71" s="11" t="str">
        <x:v>account_help</x:v>
      </x:c>
      <x:c r="F71" s="11" t="str">
        <x:f>IF(D71="","PENDING",IF(E71=D71,"PASS","FAIL"))</x:f>
        <x:v>PASS</x:v>
      </x:c>
      <x:c r="G71" s="11" t="str">
        <x:v>account_help</x:v>
      </x:c>
      <x:c r="H71" s="11" t="str">
        <x:f>IF(D71="","PENDING",IF(G71=D71,"PASS","FAIL"))</x:f>
        <x:v>PASS</x:v>
      </x:c>
      <x:c r="I71" s="11" t="str">
        <x:f>IF(OR(F71="PENDING",H71="PENDING"),"PENDING",IF(F71="FAIL",IF(H71="PASS","WIN","STILL_FAIL"),IF(H71="FAIL","REGRESSION","STILL_PASS")))</x:f>
        <x:v>STILL_PASS</x:v>
      </x:c>
      <x:c r="J71" s="11" t="str"/>
      <x:c r="K71" s="11" t="str"/>
      <x:c r="L71" s="12" t="str"/>
      <x:c r="M71" s="12" t="str"/>
      <x:c r="N71" s="11" t="n">
        <x:f>IF(F71="PENDING","",IF(F71="PASS",1,0))</x:f>
        <x:v>1</x:v>
      </x:c>
      <x:c r="O71" s="11" t="n">
        <x:f>IF(H71="PENDING","",IF(H71="PASS",1,0))</x:f>
        <x:v>1</x:v>
      </x:c>
    </x:row>
    <x:row r="72" ht="55" customHeight="1">
      <x:c r="A72" s="11" t="str">
        <x:v>t066</x:v>
      </x:c>
      <x:c r="B72" s="11" t="str">
        <x:v>Excuse me, but I can't seem to locate where to update my credit card on your site. It's not showing up in the settings. Would you enlighten me?</x:v>
      </x:c>
      <x:c r="C72" s="11" t="str">
        <x:v>account_help</x:v>
      </x:c>
      <x:c r="D72" s="12" t="str">
        <x:v>account_help</x:v>
      </x:c>
      <x:c r="E72" s="11" t="str">
        <x:v>account_help</x:v>
      </x:c>
      <x:c r="F72" s="11" t="str">
        <x:f>IF(D72="","PENDING",IF(E72=D72,"PASS","FAIL"))</x:f>
        <x:v>PASS</x:v>
      </x:c>
      <x:c r="G72" s="11" t="str">
        <x:v>account_help</x:v>
      </x:c>
      <x:c r="H72" s="11" t="str">
        <x:f>IF(D72="","PENDING",IF(G72=D72,"PASS","FAIL"))</x:f>
        <x:v>PASS</x:v>
      </x:c>
      <x:c r="I72" s="11" t="str">
        <x:f>IF(OR(F72="PENDING",H72="PENDING"),"PENDING",IF(F72="FAIL",IF(H72="PASS","WIN","STILL_FAIL"),IF(H72="FAIL","REGRESSION","STILL_PASS")))</x:f>
        <x:v>STILL_PASS</x:v>
      </x:c>
      <x:c r="J72" s="11" t="str"/>
      <x:c r="K72" s="11" t="str"/>
      <x:c r="L72" s="12" t="str"/>
      <x:c r="M72" s="12" t="str"/>
      <x:c r="N72" s="11" t="n">
        <x:f>IF(F72="PENDING","",IF(F72="PASS",1,0))</x:f>
        <x:v>1</x:v>
      </x:c>
      <x:c r="O72" s="11" t="n">
        <x:f>IF(H72="PENDING","",IF(H72="PASS",1,0))</x:f>
        <x:v>1</x:v>
      </x:c>
    </x:row>
    <x:row r="73" ht="55" customHeight="1">
      <x:c r="A73" s="11" t="str">
        <x:v>t067</x:v>
      </x:c>
      <x:c r="B73" s="11" t="str">
        <x:v>I need to switch the credit card linked to my account, but there's no option in the settings menu. It's quite frustrating! Can someone point me in the right direction?</x:v>
      </x:c>
      <x:c r="C73" s="11" t="str">
        <x:v>account_help</x:v>
      </x:c>
      <x:c r="D73" s="12" t="str">
        <x:v>account_help</x:v>
      </x:c>
      <x:c r="E73" s="11" t="str">
        <x:v>account_help</x:v>
      </x:c>
      <x:c r="F73" s="11" t="str">
        <x:f>IF(D73="","PENDING",IF(E73=D73,"PASS","FAIL"))</x:f>
        <x:v>PASS</x:v>
      </x:c>
      <x:c r="G73" s="11" t="str">
        <x:v>account_help</x:v>
      </x:c>
      <x:c r="H73" s="11" t="str">
        <x:f>IF(D73="","PENDING",IF(G73=D73,"PASS","FAIL"))</x:f>
        <x:v>PASS</x:v>
      </x:c>
      <x:c r="I73" s="11" t="str">
        <x:f>IF(OR(F73="PENDING",H73="PENDING"),"PENDING",IF(F73="FAIL",IF(H73="PASS","WIN","STILL_FAIL"),IF(H73="FAIL","REGRESSION","STILL_PASS")))</x:f>
        <x:v>STILL_PASS</x:v>
      </x:c>
      <x:c r="J73" s="11" t="str"/>
      <x:c r="K73" s="11" t="str"/>
      <x:c r="L73" s="12" t="str"/>
      <x:c r="M73" s="12" t="str"/>
      <x:c r="N73" s="11" t="n">
        <x:f>IF(F73="PENDING","",IF(F73="PASS",1,0))</x:f>
        <x:v>1</x:v>
      </x:c>
      <x:c r="O73" s="11" t="n">
        <x:f>IF(H73="PENDING","",IF(H73="PASS",1,0))</x:f>
        <x:v>1</x:v>
      </x:c>
    </x:row>
    <x:row r="74" ht="55" customHeight="1">
      <x:c r="A74" s="11" t="str">
        <x:v>t068</x:v>
      </x:c>
      <x:c r="B74" s="11" t="str">
        <x:v>The website won't let me check out — it keeps logging me out mid-payment.</x:v>
      </x:c>
      <x:c r="C74" s="11" t="str">
        <x:v>account_help</x:v>
      </x:c>
      <x:c r="D74" s="12" t="str">
        <x:v>account_help</x:v>
      </x:c>
      <x:c r="E74" s="11" t="str">
        <x:v>account_help</x:v>
      </x:c>
      <x:c r="F74" s="11" t="str">
        <x:f>IF(D74="","PENDING",IF(E74=D74,"PASS","FAIL"))</x:f>
        <x:v>PASS</x:v>
      </x:c>
      <x:c r="G74" s="11" t="str">
        <x:v>account_help</x:v>
      </x:c>
      <x:c r="H74" s="11" t="str">
        <x:f>IF(D74="","PENDING",IF(G74=D74,"PASS","FAIL"))</x:f>
        <x:v>PASS</x:v>
      </x:c>
      <x:c r="I74" s="11" t="str">
        <x:f>IF(OR(F74="PENDING",H74="PENDING"),"PENDING",IF(F74="FAIL",IF(H74="PASS","WIN","STILL_FAIL"),IF(H74="FAIL","REGRESSION","STILL_PASS")))</x:f>
        <x:v>STILL_PASS</x:v>
      </x:c>
      <x:c r="J74" s="11" t="str"/>
      <x:c r="K74" s="11" t="str"/>
      <x:c r="L74" s="12" t="str"/>
      <x:c r="M74" s="12" t="str"/>
      <x:c r="N74" s="11" t="n">
        <x:f>IF(F74="PENDING","",IF(F74="PASS",1,0))</x:f>
        <x:v>1</x:v>
      </x:c>
      <x:c r="O74" s="11" t="n">
        <x:f>IF(H74="PENDING","",IF(H74="PASS",1,0))</x:f>
        <x:v>1</x:v>
      </x:c>
    </x:row>
    <x:row r="75" ht="55" customHeight="1">
      <x:c r="A75" s="11" t="str">
        <x:v>t069</x:v>
      </x:c>
      <x:c r="B75" s="11" t="str">
        <x:v>I'm really frustrated — every time I try to complete my order for the new gaming headset, the site logs me out right before the payment step.</x:v>
      </x:c>
      <x:c r="C75" s="11" t="str">
        <x:v>account_help</x:v>
      </x:c>
      <x:c r="D75" s="12" t="str">
        <x:v>account_help</x:v>
      </x:c>
      <x:c r="E75" s="11" t="str">
        <x:v>account_help</x:v>
      </x:c>
      <x:c r="F75" s="11" t="str">
        <x:f>IF(D75="","PENDING",IF(E75=D75,"PASS","FAIL"))</x:f>
        <x:v>PASS</x:v>
      </x:c>
      <x:c r="G75" s="11" t="str">
        <x:v>account_help</x:v>
      </x:c>
      <x:c r="H75" s="11" t="str">
        <x:f>IF(D75="","PENDING",IF(G75=D75,"PASS","FAIL"))</x:f>
        <x:v>PASS</x:v>
      </x:c>
      <x:c r="I75" s="11" t="str">
        <x:f>IF(OR(F75="PENDING",H75="PENDING"),"PENDING",IF(F75="FAIL",IF(H75="PASS","WIN","STILL_FAIL"),IF(H75="FAIL","REGRESSION","STILL_PASS")))</x:f>
        <x:v>STILL_PASS</x:v>
      </x:c>
      <x:c r="J75" s="11" t="str"/>
      <x:c r="K75" s="11" t="str"/>
      <x:c r="L75" s="12" t="str"/>
      <x:c r="M75" s="12" t="str"/>
      <x:c r="N75" s="11" t="n">
        <x:f>IF(F75="PENDING","",IF(F75="PASS",1,0))</x:f>
        <x:v>1</x:v>
      </x:c>
      <x:c r="O75" s="11" t="n">
        <x:f>IF(H75="PENDING","",IF(H75="PASS",1,0))</x:f>
        <x:v>1</x:v>
      </x:c>
    </x:row>
    <x:row r="76" ht="55" customHeight="1">
      <x:c r="A76" s="11" t="str">
        <x:v>t070</x:v>
      </x:c>
      <x:c r="B76" s="11" t="str">
        <x:v>Could you please help me? I’m trying to buy the yoga mat I have in my cart, but the website keeps signing me out just as I’m about to pay.</x:v>
      </x:c>
      <x:c r="C76" s="11" t="str">
        <x:v>account_help</x:v>
      </x:c>
      <x:c r="D76" s="12" t="str">
        <x:v>account_help</x:v>
      </x:c>
      <x:c r="E76" s="11" t="str">
        <x:v>account_help</x:v>
      </x:c>
      <x:c r="F76" s="11" t="str">
        <x:f>IF(D76="","PENDING",IF(E76=D76,"PASS","FAIL"))</x:f>
        <x:v>PASS</x:v>
      </x:c>
      <x:c r="G76" s="11" t="str">
        <x:v>account_help</x:v>
      </x:c>
      <x:c r="H76" s="11" t="str">
        <x:f>IF(D76="","PENDING",IF(G76=D76,"PASS","FAIL"))</x:f>
        <x:v>PASS</x:v>
      </x:c>
      <x:c r="I76" s="11" t="str">
        <x:f>IF(OR(F76="PENDING",H76="PENDING"),"PENDING",IF(F76="FAIL",IF(H76="PASS","WIN","STILL_FAIL"),IF(H76="FAIL","REGRESSION","STILL_PASS")))</x:f>
        <x:v>STILL_PASS</x:v>
      </x:c>
      <x:c r="J76" s="11" t="str"/>
      <x:c r="K76" s="11" t="str"/>
      <x:c r="L76" s="12" t="str"/>
      <x:c r="M76" s="12" t="str"/>
      <x:c r="N76" s="11" t="n">
        <x:f>IF(F76="PENDING","",IF(F76="PASS",1,0))</x:f>
        <x:v>1</x:v>
      </x:c>
      <x:c r="O76" s="11" t="n">
        <x:f>IF(H76="PENDING","",IF(H76="PASS",1,0))</x:f>
        <x:v>1</x:v>
      </x:c>
    </x:row>
    <x:row r="77" ht="55" customHeight="1">
      <x:c r="A77" s="11" t="str">
        <x:v>t071</x:v>
      </x:c>
      <x:c r="B77" s="11" t="str">
        <x:v>I’m having a really annoying issue with my order #34567 for the Bluetooth speaker. The checkout process keeps logging me out, which is quite inconvenient.</x:v>
      </x:c>
      <x:c r="C77" s="11" t="str">
        <x:v>account_help</x:v>
      </x:c>
      <x:c r="D77" s="12" t="str">
        <x:v>account_help</x:v>
      </x:c>
      <x:c r="E77" s="11" t="str">
        <x:v>account_help</x:v>
      </x:c>
      <x:c r="F77" s="11" t="str">
        <x:f>IF(D77="","PENDING",IF(E77=D77,"PASS","FAIL"))</x:f>
        <x:v>PASS</x:v>
      </x:c>
      <x:c r="G77" s="11" t="str">
        <x:v>account_help</x:v>
      </x:c>
      <x:c r="H77" s="11" t="str">
        <x:f>IF(D77="","PENDING",IF(G77=D77,"PASS","FAIL"))</x:f>
        <x:v>PASS</x:v>
      </x:c>
      <x:c r="I77" s="11" t="str">
        <x:f>IF(OR(F77="PENDING",H77="PENDING"),"PENDING",IF(F77="FAIL",IF(H77="PASS","WIN","STILL_FAIL"),IF(H77="FAIL","REGRESSION","STILL_PASS")))</x:f>
        <x:v>STILL_PASS</x:v>
      </x:c>
      <x:c r="J77" s="11" t="str"/>
      <x:c r="K77" s="11" t="str"/>
      <x:c r="L77" s="12" t="str"/>
      <x:c r="M77" s="12" t="str"/>
      <x:c r="N77" s="11" t="n">
        <x:f>IF(F77="PENDING","",IF(F77="PASS",1,0))</x:f>
        <x:v>1</x:v>
      </x:c>
      <x:c r="O77" s="11" t="n">
        <x:f>IF(H77="PENDING","",IF(H77="PASS",1,0))</x:f>
        <x:v>1</x:v>
      </x:c>
    </x:row>
    <x:row r="78" ht="55" customHeight="1">
      <x:c r="A78" s="11" t="str">
        <x:v>t072</x:v>
      </x:c>
      <x:c r="B78" s="11" t="str">
        <x:v>Please remove my old shipping address. I moved last month and don't want stuff going there.</x:v>
      </x:c>
      <x:c r="C78" s="11" t="str">
        <x:v>account_help</x:v>
      </x:c>
      <x:c r="D78" s="12" t="str">
        <x:v>account_help</x:v>
      </x:c>
      <x:c r="E78" s="11" t="str">
        <x:v>account_help</x:v>
      </x:c>
      <x:c r="F78" s="11" t="str">
        <x:f>IF(D78="","PENDING",IF(E78=D78,"PASS","FAIL"))</x:f>
        <x:v>PASS</x:v>
      </x:c>
      <x:c r="G78" s="11" t="str">
        <x:v>account_help</x:v>
      </x:c>
      <x:c r="H78" s="11" t="str">
        <x:f>IF(D78="","PENDING",IF(G78=D78,"PASS","FAIL"))</x:f>
        <x:v>PASS</x:v>
      </x:c>
      <x:c r="I78" s="11" t="str">
        <x:f>IF(OR(F78="PENDING",H78="PENDING"),"PENDING",IF(F78="FAIL",IF(H78="PASS","WIN","STILL_FAIL"),IF(H78="FAIL","REGRESSION","STILL_PASS")))</x:f>
        <x:v>STILL_PASS</x:v>
      </x:c>
      <x:c r="J78" s="11" t="str"/>
      <x:c r="K78" s="11" t="str"/>
      <x:c r="L78" s="12" t="str"/>
      <x:c r="M78" s="12" t="str"/>
      <x:c r="N78" s="11" t="n">
        <x:f>IF(F78="PENDING","",IF(F78="PASS",1,0))</x:f>
        <x:v>1</x:v>
      </x:c>
      <x:c r="O78" s="11" t="n">
        <x:f>IF(H78="PENDING","",IF(H78="PASS",1,0))</x:f>
        <x:v>1</x:v>
      </x:c>
    </x:row>
    <x:row r="79" ht="55" customHeight="1">
      <x:c r="A79" s="11" t="str">
        <x:v>t073</x:v>
      </x:c>
      <x:c r="B79" s="11" t="str">
        <x:v>Hi, I need help with my shipping details. I changed my address last month and I don't want any deliveries sent to my old place anymore. Please take care of this ASAP! Thanks!</x:v>
      </x:c>
      <x:c r="C79" s="11" t="str">
        <x:v>account_help</x:v>
      </x:c>
      <x:c r="D79" s="12" t="str">
        <x:v>account_help</x:v>
      </x:c>
      <x:c r="E79" s="11" t="str">
        <x:v>account_help</x:v>
      </x:c>
      <x:c r="F79" s="11" t="str">
        <x:f>IF(D79="","PENDING",IF(E79=D79,"PASS","FAIL"))</x:f>
        <x:v>PASS</x:v>
      </x:c>
      <x:c r="G79" s="11" t="str">
        <x:v>account_help</x:v>
      </x:c>
      <x:c r="H79" s="11" t="str">
        <x:f>IF(D79="","PENDING",IF(G79=D79,"PASS","FAIL"))</x:f>
        <x:v>PASS</x:v>
      </x:c>
      <x:c r="I79" s="11" t="str">
        <x:f>IF(OR(F79="PENDING",H79="PENDING"),"PENDING",IF(F79="FAIL",IF(H79="PASS","WIN","STILL_FAIL"),IF(H79="FAIL","REGRESSION","STILL_PASS")))</x:f>
        <x:v>STILL_PASS</x:v>
      </x:c>
      <x:c r="J79" s="11" t="str"/>
      <x:c r="K79" s="11" t="str"/>
      <x:c r="L79" s="12" t="str"/>
      <x:c r="M79" s="12" t="str"/>
      <x:c r="N79" s="11" t="n">
        <x:f>IF(F79="PENDING","",IF(F79="PASS",1,0))</x:f>
        <x:v>1</x:v>
      </x:c>
      <x:c r="O79" s="11" t="n">
        <x:f>IF(H79="PENDING","",IF(H79="PASS",1,0))</x:f>
        <x:v>1</x:v>
      </x:c>
    </x:row>
    <x:row r="80" ht="55" customHeight="1">
      <x:c r="A80" s="11" t="str">
        <x:v>t074</x:v>
      </x:c>
      <x:c r="B80" s="11" t="str">
        <x:v>Could you please update my shipping address? I relocated last month, and I really don't want my items being sent to my previous location. Thanks for your assistance.</x:v>
      </x:c>
      <x:c r="C80" s="11" t="str">
        <x:v>account_help</x:v>
      </x:c>
      <x:c r="D80" s="12" t="str">
        <x:v>account_help</x:v>
      </x:c>
      <x:c r="E80" s="11" t="str">
        <x:v>account_help</x:v>
      </x:c>
      <x:c r="F80" s="11" t="str">
        <x:f>IF(D80="","PENDING",IF(E80=D80,"PASS","FAIL"))</x:f>
        <x:v>PASS</x:v>
      </x:c>
      <x:c r="G80" s="11" t="str">
        <x:v>account_help</x:v>
      </x:c>
      <x:c r="H80" s="11" t="str">
        <x:f>IF(D80="","PENDING",IF(G80=D80,"PASS","FAIL"))</x:f>
        <x:v>PASS</x:v>
      </x:c>
      <x:c r="I80" s="11" t="str">
        <x:f>IF(OR(F80="PENDING",H80="PENDING"),"PENDING",IF(F80="FAIL",IF(H80="PASS","WIN","STILL_FAIL"),IF(H80="FAIL","REGRESSION","STILL_PASS")))</x:f>
        <x:v>STILL_PASS</x:v>
      </x:c>
      <x:c r="J80" s="11" t="str"/>
      <x:c r="K80" s="11" t="str"/>
      <x:c r="L80" s="12" t="str"/>
      <x:c r="M80" s="12" t="str"/>
      <x:c r="N80" s="11" t="n">
        <x:f>IF(F80="PENDING","",IF(F80="PASS",1,0))</x:f>
        <x:v>1</x:v>
      </x:c>
      <x:c r="O80" s="11" t="n">
        <x:f>IF(H80="PENDING","",IF(H80="PASS",1,0))</x:f>
        <x:v>1</x:v>
      </x:c>
    </x:row>
    <x:row r="81" ht="55" customHeight="1">
      <x:c r="A81" s="11" t="str">
        <x:v>t075</x:v>
      </x:c>
      <x:c r="B81" s="11" t="str">
        <x:v>Hey, I just noticed that my old address is still on file, and I moved a month ago. Can you make sure that nothing gets shipped there? That would be great.</x:v>
      </x:c>
      <x:c r="C81" s="11" t="str">
        <x:v>account_help</x:v>
      </x:c>
      <x:c r="D81" s="12" t="str">
        <x:v>account_help</x:v>
      </x:c>
      <x:c r="E81" s="11" t="str">
        <x:v>account_help</x:v>
      </x:c>
      <x:c r="F81" s="11" t="str">
        <x:f>IF(D81="","PENDING",IF(E81=D81,"PASS","FAIL"))</x:f>
        <x:v>PASS</x:v>
      </x:c>
      <x:c r="G81" s="11" t="str">
        <x:v>account_help</x:v>
      </x:c>
      <x:c r="H81" s="11" t="str">
        <x:f>IF(D81="","PENDING",IF(G81=D81,"PASS","FAIL"))</x:f>
        <x:v>PASS</x:v>
      </x:c>
      <x:c r="I81" s="11" t="str">
        <x:f>IF(OR(F81="PENDING",H81="PENDING"),"PENDING",IF(F81="FAIL",IF(H81="PASS","WIN","STILL_FAIL"),IF(H81="FAIL","REGRESSION","STILL_PASS")))</x:f>
        <x:v>STILL_PASS</x:v>
      </x:c>
      <x:c r="J81" s="11" t="str"/>
      <x:c r="K81" s="11" t="str"/>
      <x:c r="L81" s="12" t="str"/>
      <x:c r="M81" s="12" t="str"/>
      <x:c r="N81" s="11" t="n">
        <x:f>IF(F81="PENDING","",IF(F81="PASS",1,0))</x:f>
        <x:v>1</x:v>
      </x:c>
      <x:c r="O81" s="11" t="n">
        <x:f>IF(H81="PENDING","",IF(H81="PASS",1,0))</x:f>
        <x:v>1</x:v>
      </x:c>
    </x:row>
    <x:row r="82" ht="55" customHeight="1">
      <x:c r="A82" s="11" t="str">
        <x:v>t076</x:v>
      </x:c>
      <x:c r="B82" s="11" t="str">
        <x:v>I keep getting 2FA codes I didn't request. Is someone trying to access my account?</x:v>
      </x:c>
      <x:c r="C82" s="11" t="str">
        <x:v>account_help</x:v>
      </x:c>
      <x:c r="D82" s="12" t="str">
        <x:v>account_help</x:v>
      </x:c>
      <x:c r="E82" s="11" t="str">
        <x:v>account_help</x:v>
      </x:c>
      <x:c r="F82" s="11" t="str">
        <x:f>IF(D82="","PENDING",IF(E82=D82,"PASS","FAIL"))</x:f>
        <x:v>PASS</x:v>
      </x:c>
      <x:c r="G82" s="11" t="str">
        <x:v>account_help</x:v>
      </x:c>
      <x:c r="H82" s="11" t="str">
        <x:f>IF(D82="","PENDING",IF(G82=D82,"PASS","FAIL"))</x:f>
        <x:v>PASS</x:v>
      </x:c>
      <x:c r="I82" s="11" t="str">
        <x:f>IF(OR(F82="PENDING",H82="PENDING"),"PENDING",IF(F82="FAIL",IF(H82="PASS","WIN","STILL_FAIL"),IF(H82="FAIL","REGRESSION","STILL_PASS")))</x:f>
        <x:v>STILL_PASS</x:v>
      </x:c>
      <x:c r="J82" s="11" t="str"/>
      <x:c r="K82" s="11" t="str"/>
      <x:c r="L82" s="12" t="str"/>
      <x:c r="M82" s="12" t="str"/>
      <x:c r="N82" s="11" t="n">
        <x:f>IF(F82="PENDING","",IF(F82="PASS",1,0))</x:f>
        <x:v>1</x:v>
      </x:c>
      <x:c r="O82" s="11" t="n">
        <x:f>IF(H82="PENDING","",IF(H82="PASS",1,0))</x:f>
        <x:v>1</x:v>
      </x:c>
    </x:row>
    <x:row r="83" ht="55" customHeight="1">
      <x:c r="A83" s="11" t="str">
        <x:v>t077</x:v>
      </x:c>
      <x:c r="B83" s="11" t="str">
        <x:v>I've been receiving 2FA codes that I never asked for. Is someone attempting to break into my account?</x:v>
      </x:c>
      <x:c r="C83" s="11" t="str">
        <x:v>account_help</x:v>
      </x:c>
      <x:c r="D83" s="12" t="str">
        <x:v>account_help</x:v>
      </x:c>
      <x:c r="E83" s="11" t="str">
        <x:v>account_help</x:v>
      </x:c>
      <x:c r="F83" s="11" t="str">
        <x:f>IF(D83="","PENDING",IF(E83=D83,"PASS","FAIL"))</x:f>
        <x:v>PASS</x:v>
      </x:c>
      <x:c r="G83" s="11" t="str">
        <x:v>account_help</x:v>
      </x:c>
      <x:c r="H83" s="11" t="str">
        <x:f>IF(D83="","PENDING",IF(G83=D83,"PASS","FAIL"))</x:f>
        <x:v>PASS</x:v>
      </x:c>
      <x:c r="I83" s="11" t="str">
        <x:f>IF(OR(F83="PENDING",H83="PENDING"),"PENDING",IF(F83="FAIL",IF(H83="PASS","WIN","STILL_FAIL"),IF(H83="FAIL","REGRESSION","STILL_PASS")))</x:f>
        <x:v>STILL_PASS</x:v>
      </x:c>
      <x:c r="J83" s="11" t="str"/>
      <x:c r="K83" s="11" t="str"/>
      <x:c r="L83" s="12" t="str"/>
      <x:c r="M83" s="12" t="str"/>
      <x:c r="N83" s="11" t="n">
        <x:f>IF(F83="PENDING","",IF(F83="PASS",1,0))</x:f>
        <x:v>1</x:v>
      </x:c>
      <x:c r="O83" s="11" t="n">
        <x:f>IF(H83="PENDING","",IF(H83="PASS",1,0))</x:f>
        <x:v>1</x:v>
      </x:c>
    </x:row>
    <x:row r="84" ht="55" customHeight="1">
      <x:c r="A84" s="11" t="str">
        <x:v>t078</x:v>
      </x:c>
      <x:c r="B84" s="11" t="str">
        <x:v>I've noticed I'm getting multiple 2FA codes sent to me that I didn't request. Can someone clarify if my account is being compromised?</x:v>
      </x:c>
      <x:c r="C84" s="11" t="str">
        <x:v>account_help</x:v>
      </x:c>
      <x:c r="D84" s="12" t="str">
        <x:v>account_help</x:v>
      </x:c>
      <x:c r="E84" s="11" t="str">
        <x:v>account_help</x:v>
      </x:c>
      <x:c r="F84" s="11" t="str">
        <x:f>IF(D84="","PENDING",IF(E84=D84,"PASS","FAIL"))</x:f>
        <x:v>PASS</x:v>
      </x:c>
      <x:c r="G84" s="11" t="str">
        <x:v>account_help</x:v>
      </x:c>
      <x:c r="H84" s="11" t="str">
        <x:f>IF(D84="","PENDING",IF(G84=D84,"PASS","FAIL"))</x:f>
        <x:v>PASS</x:v>
      </x:c>
      <x:c r="I84" s="11" t="str">
        <x:f>IF(OR(F84="PENDING",H84="PENDING"),"PENDING",IF(F84="FAIL",IF(H84="PASS","WIN","STILL_FAIL"),IF(H84="FAIL","REGRESSION","STILL_PASS")))</x:f>
        <x:v>STILL_PASS</x:v>
      </x:c>
      <x:c r="J84" s="11" t="str"/>
      <x:c r="K84" s="11" t="str"/>
      <x:c r="L84" s="12" t="str"/>
      <x:c r="M84" s="12" t="str"/>
      <x:c r="N84" s="11" t="n">
        <x:f>IF(F84="PENDING","",IF(F84="PASS",1,0))</x:f>
        <x:v>1</x:v>
      </x:c>
      <x:c r="O84" s="11" t="n">
        <x:f>IF(H84="PENDING","",IF(H84="PASS",1,0))</x:f>
        <x:v>1</x:v>
      </x:c>
    </x:row>
    <x:row r="85" ht="55" customHeight="1">
      <x:c r="A85" s="11" t="str">
        <x:v>t079</x:v>
      </x:c>
      <x:c r="B85" s="11" t="str">
        <x:v>Why am I suddenly getting 2FA codes that I didn't ask for? Is there a chance my account has been hacked?</x:v>
      </x:c>
      <x:c r="C85" s="11" t="str">
        <x:v>account_help</x:v>
      </x:c>
      <x:c r="D85" s="12" t="str">
        <x:v>account_help</x:v>
      </x:c>
      <x:c r="E85" s="11" t="str">
        <x:v>account_help</x:v>
      </x:c>
      <x:c r="F85" s="11" t="str">
        <x:f>IF(D85="","PENDING",IF(E85=D85,"PASS","FAIL"))</x:f>
        <x:v>PASS</x:v>
      </x:c>
      <x:c r="G85" s="11" t="str">
        <x:v>account_help</x:v>
      </x:c>
      <x:c r="H85" s="11" t="str">
        <x:f>IF(D85="","PENDING",IF(G85=D85,"PASS","FAIL"))</x:f>
        <x:v>PASS</x:v>
      </x:c>
      <x:c r="I85" s="11" t="str">
        <x:f>IF(OR(F85="PENDING",H85="PENDING"),"PENDING",IF(F85="FAIL",IF(H85="PASS","WIN","STILL_FAIL"),IF(H85="FAIL","REGRESSION","STILL_PASS")))</x:f>
        <x:v>STILL_PASS</x:v>
      </x:c>
      <x:c r="J85" s="11" t="str"/>
      <x:c r="K85" s="11" t="str"/>
      <x:c r="L85" s="12" t="str"/>
      <x:c r="M85" s="12" t="str"/>
      <x:c r="N85" s="11" t="n">
        <x:f>IF(F85="PENDING","",IF(F85="PASS",1,0))</x:f>
        <x:v>1</x:v>
      </x:c>
      <x:c r="O85" s="11" t="n">
        <x:f>IF(H85="PENDING","",IF(H85="PASS",1,0))</x:f>
        <x:v>1</x:v>
      </x:c>
    </x:row>
    <x:row r="86" ht="55" customHeight="1">
      <x:c r="A86" s="11" t="str">
        <x:v>t080</x:v>
      </x:c>
      <x:c r="B86" s="11" t="str">
        <x:v>Do you guys ship to Canada? Couldn't find it on the FAQ page.</x:v>
      </x:c>
      <x:c r="C86" s="11" t="str">
        <x:v>other</x:v>
      </x:c>
      <x:c r="D86" s="12" t="str">
        <x:v>other</x:v>
      </x:c>
      <x:c r="E86" s="11" t="str">
        <x:v>other</x:v>
      </x:c>
      <x:c r="F86" s="11" t="str">
        <x:f>IF(D86="","PENDING",IF(E86=D86,"PASS","FAIL"))</x:f>
        <x:v>PASS</x:v>
      </x:c>
      <x:c r="G86" s="11" t="str">
        <x:v>other</x:v>
      </x:c>
      <x:c r="H86" s="11" t="str">
        <x:f>IF(D86="","PENDING",IF(G86=D86,"PASS","FAIL"))</x:f>
        <x:v>PASS</x:v>
      </x:c>
      <x:c r="I86" s="11" t="str">
        <x:f>IF(OR(F86="PENDING",H86="PENDING"),"PENDING",IF(F86="FAIL",IF(H86="PASS","WIN","STILL_FAIL"),IF(H86="FAIL","REGRESSION","STILL_PASS")))</x:f>
        <x:v>STILL_PASS</x:v>
      </x:c>
      <x:c r="J86" s="11" t="str"/>
      <x:c r="K86" s="11" t="str"/>
      <x:c r="L86" s="12" t="str"/>
      <x:c r="M86" s="12" t="str"/>
      <x:c r="N86" s="11" t="n">
        <x:f>IF(F86="PENDING","",IF(F86="PASS",1,0))</x:f>
        <x:v>1</x:v>
      </x:c>
      <x:c r="O86" s="11" t="n">
        <x:f>IF(H86="PENDING","",IF(H86="PASS",1,0))</x:f>
        <x:v>1</x:v>
      </x:c>
    </x:row>
    <x:row r="87" ht="55" customHeight="1">
      <x:c r="A87" s="11" t="str">
        <x:v>t081</x:v>
      </x:c>
      <x:c r="B87" s="11" t="str">
        <x:v>Hey, do you even ship to Canada? I searched the FAQ and it’s not there. What’s the deal?</x:v>
      </x:c>
      <x:c r="C87" s="11" t="str">
        <x:v>other</x:v>
      </x:c>
      <x:c r="D87" s="12" t="str">
        <x:v>other</x:v>
      </x:c>
      <x:c r="E87" s="11" t="str">
        <x:v>other</x:v>
      </x:c>
      <x:c r="F87" s="11" t="str">
        <x:f>IF(D87="","PENDING",IF(E87=D87,"PASS","FAIL"))</x:f>
        <x:v>PASS</x:v>
      </x:c>
      <x:c r="G87" s="11" t="str">
        <x:v>other</x:v>
      </x:c>
      <x:c r="H87" s="11" t="str">
        <x:f>IF(D87="","PENDING",IF(G87=D87,"PASS","FAIL"))</x:f>
        <x:v>PASS</x:v>
      </x:c>
      <x:c r="I87" s="11" t="str">
        <x:f>IF(OR(F87="PENDING",H87="PENDING"),"PENDING",IF(F87="FAIL",IF(H87="PASS","WIN","STILL_FAIL"),IF(H87="FAIL","REGRESSION","STILL_PASS")))</x:f>
        <x:v>STILL_PASS</x:v>
      </x:c>
      <x:c r="J87" s="11" t="str"/>
      <x:c r="K87" s="11" t="str"/>
      <x:c r="L87" s="12" t="str"/>
      <x:c r="M87" s="12" t="str"/>
      <x:c r="N87" s="11" t="n">
        <x:f>IF(F87="PENDING","",IF(F87="PASS",1,0))</x:f>
        <x:v>1</x:v>
      </x:c>
      <x:c r="O87" s="11" t="n">
        <x:f>IF(H87="PENDING","",IF(H87="PASS",1,0))</x:f>
        <x:v>1</x:v>
      </x:c>
    </x:row>
    <x:row r="88" ht="55" customHeight="1">
      <x:c r="A88" s="11" t="str">
        <x:v>t082</x:v>
      </x:c>
      <x:c r="B88" s="11" t="str">
        <x:v>Hi there! I was wondering if you ship to Canada because I didn’t see that info in the FAQ section. Can you help?</x:v>
      </x:c>
      <x:c r="C88" s="11" t="str">
        <x:v>other</x:v>
      </x:c>
      <x:c r="D88" s="12" t="str">
        <x:v>other</x:v>
      </x:c>
      <x:c r="E88" s="11" t="str">
        <x:v>other</x:v>
      </x:c>
      <x:c r="F88" s="11" t="str">
        <x:f>IF(D88="","PENDING",IF(E88=D88,"PASS","FAIL"))</x:f>
        <x:v>PASS</x:v>
      </x:c>
      <x:c r="G88" s="11" t="str">
        <x:v>other</x:v>
      </x:c>
      <x:c r="H88" s="11" t="str">
        <x:f>IF(D88="","PENDING",IF(G88=D88,"PASS","FAIL"))</x:f>
        <x:v>PASS</x:v>
      </x:c>
      <x:c r="I88" s="11" t="str">
        <x:f>IF(OR(F88="PENDING",H88="PENDING"),"PENDING",IF(F88="FAIL",IF(H88="PASS","WIN","STILL_FAIL"),IF(H88="FAIL","REGRESSION","STILL_PASS")))</x:f>
        <x:v>STILL_PASS</x:v>
      </x:c>
      <x:c r="J88" s="11" t="str"/>
      <x:c r="K88" s="11" t="str"/>
      <x:c r="L88" s="12" t="str"/>
      <x:c r="M88" s="12" t="str"/>
      <x:c r="N88" s="11" t="n">
        <x:f>IF(F88="PENDING","",IF(F88="PASS",1,0))</x:f>
        <x:v>1</x:v>
      </x:c>
      <x:c r="O88" s="11" t="n">
        <x:f>IF(H88="PENDING","",IF(H88="PASS",1,0))</x:f>
        <x:v>1</x:v>
      </x:c>
    </x:row>
    <x:row r="89" ht="55" customHeight="1">
      <x:c r="A89" s="11" t="str">
        <x:v>t083</x:v>
      </x:c>
      <x:c r="B89" s="11" t="str">
        <x:v>Quick question: do you ship to Canada? I couldn’t find any mention of it on the FAQ page.</x:v>
      </x:c>
      <x:c r="C89" s="11" t="str">
        <x:v>other</x:v>
      </x:c>
      <x:c r="D89" s="12" t="str">
        <x:v>other</x:v>
      </x:c>
      <x:c r="E89" s="11" t="str">
        <x:v>other</x:v>
      </x:c>
      <x:c r="F89" s="11" t="str">
        <x:f>IF(D89="","PENDING",IF(E89=D89,"PASS","FAIL"))</x:f>
        <x:v>PASS</x:v>
      </x:c>
      <x:c r="G89" s="11" t="str">
        <x:v>other</x:v>
      </x:c>
      <x:c r="H89" s="11" t="str">
        <x:f>IF(D89="","PENDING",IF(G89=D89,"PASS","FAIL"))</x:f>
        <x:v>PASS</x:v>
      </x:c>
      <x:c r="I89" s="11" t="str">
        <x:f>IF(OR(F89="PENDING",H89="PENDING"),"PENDING",IF(F89="FAIL",IF(H89="PASS","WIN","STILL_FAIL"),IF(H89="FAIL","REGRESSION","STILL_PASS")))</x:f>
        <x:v>STILL_PASS</x:v>
      </x:c>
      <x:c r="J89" s="11" t="str"/>
      <x:c r="K89" s="11" t="str"/>
      <x:c r="L89" s="12" t="str"/>
      <x:c r="M89" s="12" t="str"/>
      <x:c r="N89" s="11" t="n">
        <x:f>IF(F89="PENDING","",IF(F89="PASS",1,0))</x:f>
        <x:v>1</x:v>
      </x:c>
      <x:c r="O89" s="11" t="n">
        <x:f>IF(H89="PENDING","",IF(H89="PASS",1,0))</x:f>
        <x:v>1</x:v>
      </x:c>
    </x:row>
    <x:row r="90" ht="55" customHeight="1">
      <x:c r="A90" s="11" t="str">
        <x:v>t084</x:v>
      </x:c>
      <x:c r="B90" s="11" t="str">
        <x:v>Just wanted to say the customer service rep I spoke to yesterday was amazing. Thank you!</x:v>
      </x:c>
      <x:c r="C90" s="11" t="str">
        <x:v>other</x:v>
      </x:c>
      <x:c r="D90" s="12" t="str">
        <x:v>other</x:v>
      </x:c>
      <x:c r="E90" s="11" t="str">
        <x:v>other</x:v>
      </x:c>
      <x:c r="F90" s="11" t="str">
        <x:f>IF(D90="","PENDING",IF(E90=D90,"PASS","FAIL"))</x:f>
        <x:v>PASS</x:v>
      </x:c>
      <x:c r="G90" s="11" t="str">
        <x:v>other</x:v>
      </x:c>
      <x:c r="H90" s="11" t="str">
        <x:f>IF(D90="","PENDING",IF(G90=D90,"PASS","FAIL"))</x:f>
        <x:v>PASS</x:v>
      </x:c>
      <x:c r="I90" s="11" t="str">
        <x:f>IF(OR(F90="PENDING",H90="PENDING"),"PENDING",IF(F90="FAIL",IF(H90="PASS","WIN","STILL_FAIL"),IF(H90="FAIL","REGRESSION","STILL_PASS")))</x:f>
        <x:v>STILL_PASS</x:v>
      </x:c>
      <x:c r="J90" s="11" t="str"/>
      <x:c r="K90" s="11" t="str"/>
      <x:c r="L90" s="12" t="str"/>
      <x:c r="M90" s="12" t="str"/>
      <x:c r="N90" s="11" t="n">
        <x:f>IF(F90="PENDING","",IF(F90="PASS",1,0))</x:f>
        <x:v>1</x:v>
      </x:c>
      <x:c r="O90" s="11" t="n">
        <x:f>IF(H90="PENDING","",IF(H90="PASS",1,0))</x:f>
        <x:v>1</x:v>
      </x:c>
    </x:row>
    <x:row r="91" ht="55" customHeight="1">
      <x:c r="A91" s="11" t="str">
        <x:v>t085</x:v>
      </x:c>
      <x:c r="B91" s="11" t="str">
        <x:v>I'm really impressed with the customer service representative I talked to yesterday. They were fantastic, thanks a lot!</x:v>
      </x:c>
      <x:c r="C91" s="11" t="str">
        <x:v>other</x:v>
      </x:c>
      <x:c r="D91" s="12" t="str">
        <x:v>other</x:v>
      </x:c>
      <x:c r="E91" s="11" t="str">
        <x:v>other</x:v>
      </x:c>
      <x:c r="F91" s="11" t="str">
        <x:f>IF(D91="","PENDING",IF(E91=D91,"PASS","FAIL"))</x:f>
        <x:v>PASS</x:v>
      </x:c>
      <x:c r="G91" s="11" t="str">
        <x:v>other</x:v>
      </x:c>
      <x:c r="H91" s="11" t="str">
        <x:f>IF(D91="","PENDING",IF(G91=D91,"PASS","FAIL"))</x:f>
        <x:v>PASS</x:v>
      </x:c>
      <x:c r="I91" s="11" t="str">
        <x:f>IF(OR(F91="PENDING",H91="PENDING"),"PENDING",IF(F91="FAIL",IF(H91="PASS","WIN","STILL_FAIL"),IF(H91="FAIL","REGRESSION","STILL_PASS")))</x:f>
        <x:v>STILL_PASS</x:v>
      </x:c>
      <x:c r="J91" s="11" t="str"/>
      <x:c r="K91" s="11" t="str"/>
      <x:c r="L91" s="12" t="str"/>
      <x:c r="M91" s="12" t="str"/>
      <x:c r="N91" s="11" t="n">
        <x:f>IF(F91="PENDING","",IF(F91="PASS",1,0))</x:f>
        <x:v>1</x:v>
      </x:c>
      <x:c r="O91" s="11" t="n">
        <x:f>IF(H91="PENDING","",IF(H91="PASS",1,0))</x:f>
        <x:v>1</x:v>
      </x:c>
    </x:row>
    <x:row r="92" ht="55" customHeight="1">
      <x:c r="A92" s="11" t="str">
        <x:v>t086</x:v>
      </x:c>
      <x:c r="B92" s="11" t="str">
        <x:v>I just have to mention that the support agent I had yesterday was incredible. I appreciate it!</x:v>
      </x:c>
      <x:c r="C92" s="11" t="str">
        <x:v>other</x:v>
      </x:c>
      <x:c r="D92" s="12" t="str">
        <x:v>other</x:v>
      </x:c>
      <x:c r="E92" s="11" t="str">
        <x:v>other</x:v>
      </x:c>
      <x:c r="F92" s="11" t="str">
        <x:f>IF(D92="","PENDING",IF(E92=D92,"PASS","FAIL"))</x:f>
        <x:v>PASS</x:v>
      </x:c>
      <x:c r="G92" s="11" t="str">
        <x:v>other</x:v>
      </x:c>
      <x:c r="H92" s="11" t="str">
        <x:f>IF(D92="","PENDING",IF(G92=D92,"PASS","FAIL"))</x:f>
        <x:v>PASS</x:v>
      </x:c>
      <x:c r="I92" s="11" t="str">
        <x:f>IF(OR(F92="PENDING",H92="PENDING"),"PENDING",IF(F92="FAIL",IF(H92="PASS","WIN","STILL_FAIL"),IF(H92="FAIL","REGRESSION","STILL_PASS")))</x:f>
        <x:v>STILL_PASS</x:v>
      </x:c>
      <x:c r="J92" s="11" t="str"/>
      <x:c r="K92" s="11" t="str"/>
      <x:c r="L92" s="12" t="str"/>
      <x:c r="M92" s="12" t="str"/>
      <x:c r="N92" s="11" t="n">
        <x:f>IF(F92="PENDING","",IF(F92="PASS",1,0))</x:f>
        <x:v>1</x:v>
      </x:c>
      <x:c r="O92" s="11" t="n">
        <x:f>IF(H92="PENDING","",IF(H92="PASS",1,0))</x:f>
        <x:v>1</x:v>
      </x:c>
    </x:row>
    <x:row r="93" ht="55" customHeight="1">
      <x:c r="A93" s="11" t="str">
        <x:v>t087</x:v>
      </x:c>
      <x:c r="B93" s="11" t="str">
        <x:v>Shoutout to the customer service person I spoke with yesterday; they were really helpful. Thanks a million!</x:v>
      </x:c>
      <x:c r="C93" s="11" t="str">
        <x:v>other</x:v>
      </x:c>
      <x:c r="D93" s="12" t="str">
        <x:v>other</x:v>
      </x:c>
      <x:c r="E93" s="11" t="str">
        <x:v>other</x:v>
      </x:c>
      <x:c r="F93" s="11" t="str">
        <x:f>IF(D93="","PENDING",IF(E93=D93,"PASS","FAIL"))</x:f>
        <x:v>PASS</x:v>
      </x:c>
      <x:c r="G93" s="11" t="str">
        <x:v>other</x:v>
      </x:c>
      <x:c r="H93" s="11" t="str">
        <x:f>IF(D93="","PENDING",IF(G93=D93,"PASS","FAIL"))</x:f>
        <x:v>PASS</x:v>
      </x:c>
      <x:c r="I93" s="11" t="str">
        <x:f>IF(OR(F93="PENDING",H93="PENDING"),"PENDING",IF(F93="FAIL",IF(H93="PASS","WIN","STILL_FAIL"),IF(H93="FAIL","REGRESSION","STILL_PASS")))</x:f>
        <x:v>STILL_PASS</x:v>
      </x:c>
      <x:c r="J93" s="11" t="str"/>
      <x:c r="K93" s="11" t="str"/>
      <x:c r="L93" s="12" t="str"/>
      <x:c r="M93" s="12" t="str"/>
      <x:c r="N93" s="11" t="n">
        <x:f>IF(F93="PENDING","",IF(F93="PASS",1,0))</x:f>
        <x:v>1</x:v>
      </x:c>
      <x:c r="O93" s="11" t="n">
        <x:f>IF(H93="PENDING","",IF(H93="PASS",1,0))</x:f>
        <x:v>1</x:v>
      </x:c>
    </x:row>
    <x:row r="94" ht="55" customHeight="1">
      <x:c r="A94" s="11" t="str">
        <x:v>t088</x:v>
      </x:c>
      <x:c r="B94" s="11" t="str">
        <x:v>Is the red version of SKU-1140 back in stock?</x:v>
      </x:c>
      <x:c r="C94" s="11" t="str">
        <x:v>other</x:v>
      </x:c>
      <x:c r="D94" s="12" t="str">
        <x:v>other</x:v>
      </x:c>
      <x:c r="E94" s="11" t="str">
        <x:v>other</x:v>
      </x:c>
      <x:c r="F94" s="11" t="str">
        <x:f>IF(D94="","PENDING",IF(E94=D94,"PASS","FAIL"))</x:f>
        <x:v>PASS</x:v>
      </x:c>
      <x:c r="G94" s="11" t="str">
        <x:v>other</x:v>
      </x:c>
      <x:c r="H94" s="11" t="str">
        <x:f>IF(D94="","PENDING",IF(G94=D94,"PASS","FAIL"))</x:f>
        <x:v>PASS</x:v>
      </x:c>
      <x:c r="I94" s="11" t="str">
        <x:f>IF(OR(F94="PENDING",H94="PENDING"),"PENDING",IF(F94="FAIL",IF(H94="PASS","WIN","STILL_FAIL"),IF(H94="FAIL","REGRESSION","STILL_PASS")))</x:f>
        <x:v>STILL_PASS</x:v>
      </x:c>
      <x:c r="J94" s="11" t="str"/>
      <x:c r="K94" s="11" t="str"/>
      <x:c r="L94" s="12" t="str"/>
      <x:c r="M94" s="12" t="str"/>
      <x:c r="N94" s="11" t="n">
        <x:f>IF(F94="PENDING","",IF(F94="PASS",1,0))</x:f>
        <x:v>1</x:v>
      </x:c>
      <x:c r="O94" s="11" t="n">
        <x:f>IF(H94="PENDING","",IF(H94="PASS",1,0))</x:f>
        <x:v>1</x:v>
      </x:c>
    </x:row>
    <x:row r="95" ht="55" customHeight="1">
      <x:c r="A95" s="11" t="str">
        <x:v>t089</x:v>
      </x:c>
      <x:c r="B95" s="11" t="str">
        <x:v>I was wondering if the red SKU-1140 is available again? It's been a while and I really need it!</x:v>
      </x:c>
      <x:c r="C95" s="11" t="str">
        <x:v>other</x:v>
      </x:c>
      <x:c r="D95" s="12" t="str">
        <x:v>other</x:v>
      </x:c>
      <x:c r="E95" s="11" t="str">
        <x:v>other</x:v>
      </x:c>
      <x:c r="F95" s="11" t="str">
        <x:f>IF(D95="","PENDING",IF(E95=D95,"PASS","FAIL"))</x:f>
        <x:v>PASS</x:v>
      </x:c>
      <x:c r="G95" s="11" t="str">
        <x:v>other</x:v>
      </x:c>
      <x:c r="H95" s="11" t="str">
        <x:f>IF(D95="","PENDING",IF(G95=D95,"PASS","FAIL"))</x:f>
        <x:v>PASS</x:v>
      </x:c>
      <x:c r="I95" s="11" t="str">
        <x:f>IF(OR(F95="PENDING",H95="PENDING"),"PENDING",IF(F95="FAIL",IF(H95="PASS","WIN","STILL_FAIL"),IF(H95="FAIL","REGRESSION","STILL_PASS")))</x:f>
        <x:v>STILL_PASS</x:v>
      </x:c>
      <x:c r="J95" s="11" t="str"/>
      <x:c r="K95" s="11" t="str"/>
      <x:c r="L95" s="12" t="str"/>
      <x:c r="M95" s="12" t="str"/>
      <x:c r="N95" s="11" t="n">
        <x:f>IF(F95="PENDING","",IF(F95="PASS",1,0))</x:f>
        <x:v>1</x:v>
      </x:c>
      <x:c r="O95" s="11" t="n">
        <x:f>IF(H95="PENDING","",IF(H95="PASS",1,0))</x:f>
        <x:v>1</x:v>
      </x:c>
    </x:row>
    <x:row r="96" ht="55" customHeight="1">
      <x:c r="A96" s="11" t="str">
        <x:v>t090</x:v>
      </x:c>
      <x:c r="B96" s="11" t="str">
        <x:v>Could you let me know when the red variant of SKU-1140 will be restocked? I'm quite eager to buy it!</x:v>
      </x:c>
      <x:c r="C96" s="11" t="str">
        <x:v>other</x:v>
      </x:c>
      <x:c r="D96" s="12" t="str">
        <x:v>other</x:v>
      </x:c>
      <x:c r="E96" s="11" t="str">
        <x:v>other</x:v>
      </x:c>
      <x:c r="F96" s="11" t="str">
        <x:f>IF(D96="","PENDING",IF(E96=D96,"PASS","FAIL"))</x:f>
        <x:v>PASS</x:v>
      </x:c>
      <x:c r="G96" s="11" t="str">
        <x:v>other</x:v>
      </x:c>
      <x:c r="H96" s="11" t="str">
        <x:f>IF(D96="","PENDING",IF(G96=D96,"PASS","FAIL"))</x:f>
        <x:v>PASS</x:v>
      </x:c>
      <x:c r="I96" s="11" t="str">
        <x:f>IF(OR(F96="PENDING",H96="PENDING"),"PENDING",IF(F96="FAIL",IF(H96="PASS","WIN","STILL_FAIL"),IF(H96="FAIL","REGRESSION","STILL_PASS")))</x:f>
        <x:v>STILL_PASS</x:v>
      </x:c>
      <x:c r="J96" s="11" t="str"/>
      <x:c r="K96" s="11" t="str"/>
      <x:c r="L96" s="12" t="str"/>
      <x:c r="M96" s="12" t="str"/>
      <x:c r="N96" s="11" t="n">
        <x:f>IF(F96="PENDING","",IF(F96="PASS",1,0))</x:f>
        <x:v>1</x:v>
      </x:c>
      <x:c r="O96" s="11" t="n">
        <x:f>IF(H96="PENDING","",IF(H96="PASS",1,0))</x:f>
        <x:v>1</x:v>
      </x:c>
    </x:row>
    <x:row r="97" ht="55" customHeight="1">
      <x:c r="A97" s="11" t="str">
        <x:v>t091</x:v>
      </x:c>
      <x:c r="B97" s="11" t="str">
        <x:v>Hey, is the red SKU-1140 back in stock yet? It feels like forever since I last checked.</x:v>
      </x:c>
      <x:c r="C97" s="11" t="str">
        <x:v>other</x:v>
      </x:c>
      <x:c r="D97" s="12" t="str">
        <x:v>other</x:v>
      </x:c>
      <x:c r="E97" s="11" t="str">
        <x:v>other</x:v>
      </x:c>
      <x:c r="F97" s="11" t="str">
        <x:f>IF(D97="","PENDING",IF(E97=D97,"PASS","FAIL"))</x:f>
        <x:v>PASS</x:v>
      </x:c>
      <x:c r="G97" s="11" t="str">
        <x:v>other</x:v>
      </x:c>
      <x:c r="H97" s="11" t="str">
        <x:f>IF(D97="","PENDING",IF(G97=D97,"PASS","FAIL"))</x:f>
        <x:v>PASS</x:v>
      </x:c>
      <x:c r="I97" s="11" t="str">
        <x:f>IF(OR(F97="PENDING",H97="PENDING"),"PENDING",IF(F97="FAIL",IF(H97="PASS","WIN","STILL_FAIL"),IF(H97="FAIL","REGRESSION","STILL_PASS")))</x:f>
        <x:v>STILL_PASS</x:v>
      </x:c>
      <x:c r="J97" s="11" t="str"/>
      <x:c r="K97" s="11" t="str"/>
      <x:c r="L97" s="12" t="str"/>
      <x:c r="M97" s="12" t="str"/>
      <x:c r="N97" s="11" t="n">
        <x:f>IF(F97="PENDING","",IF(F97="PASS",1,0))</x:f>
        <x:v>1</x:v>
      </x:c>
      <x:c r="O97" s="11" t="n">
        <x:f>IF(H97="PENDING","",IF(H97="PASS",1,0))</x:f>
        <x:v>1</x:v>
      </x:c>
    </x:row>
    <x:row r="98" ht="55" customHeight="1">
      <x:c r="A98" s="11" t="str">
        <x:v>t092</x:v>
      </x:c>
      <x:c r="B98" s="11" t="str">
        <x:v>Do you offer a student discount? Couldn't find one at checkout.</x:v>
      </x:c>
      <x:c r="C98" s="11" t="str">
        <x:v>other</x:v>
      </x:c>
      <x:c r="D98" s="12" t="str">
        <x:v>other</x:v>
      </x:c>
      <x:c r="E98" s="11" t="str">
        <x:v>other</x:v>
      </x:c>
      <x:c r="F98" s="11" t="str">
        <x:f>IF(D98="","PENDING",IF(E98=D98,"PASS","FAIL"))</x:f>
        <x:v>PASS</x:v>
      </x:c>
      <x:c r="G98" s="11" t="str">
        <x:v>other</x:v>
      </x:c>
      <x:c r="H98" s="11" t="str">
        <x:f>IF(D98="","PENDING",IF(G98=D98,"PASS","FAIL"))</x:f>
        <x:v>PASS</x:v>
      </x:c>
      <x:c r="I98" s="11" t="str">
        <x:f>IF(OR(F98="PENDING",H98="PENDING"),"PENDING",IF(F98="FAIL",IF(H98="PASS","WIN","STILL_FAIL"),IF(H98="FAIL","REGRESSION","STILL_PASS")))</x:f>
        <x:v>STILL_PASS</x:v>
      </x:c>
      <x:c r="J98" s="11" t="str"/>
      <x:c r="K98" s="11" t="str"/>
      <x:c r="L98" s="12" t="str"/>
      <x:c r="M98" s="12" t="str"/>
      <x:c r="N98" s="11" t="n">
        <x:f>IF(F98="PENDING","",IF(F98="PASS",1,0))</x:f>
        <x:v>1</x:v>
      </x:c>
      <x:c r="O98" s="11" t="n">
        <x:f>IF(H98="PENDING","",IF(H98="PASS",1,0))</x:f>
        <x:v>1</x:v>
      </x:c>
    </x:row>
    <x:row r="99" ht="55" customHeight="1">
      <x:c r="A99" s="11" t="str">
        <x:v>t093</x:v>
      </x:c>
      <x:c r="B99" s="11" t="str">
        <x:v>I'm really disappointed that I can't find a student discount option. Do you guys even offer one? My order number is 12345.</x:v>
      </x:c>
      <x:c r="C99" s="11" t="str">
        <x:v>other</x:v>
      </x:c>
      <x:c r="D99" s="12" t="str">
        <x:v>other</x:v>
      </x:c>
      <x:c r="E99" s="11" t="str">
        <x:v>other</x:v>
      </x:c>
      <x:c r="F99" s="11" t="str">
        <x:f>IF(D99="","PENDING",IF(E99=D99,"PASS","FAIL"))</x:f>
        <x:v>PASS</x:v>
      </x:c>
      <x:c r="G99" s="11" t="str">
        <x:v>other</x:v>
      </x:c>
      <x:c r="H99" s="11" t="str">
        <x:f>IF(D99="","PENDING",IF(G99=D99,"PASS","FAIL"))</x:f>
        <x:v>PASS</x:v>
      </x:c>
      <x:c r="I99" s="11" t="str">
        <x:f>IF(OR(F99="PENDING",H99="PENDING"),"PENDING",IF(F99="FAIL",IF(H99="PASS","WIN","STILL_FAIL"),IF(H99="FAIL","REGRESSION","STILL_PASS")))</x:f>
        <x:v>STILL_PASS</x:v>
      </x:c>
      <x:c r="J99" s="11" t="str"/>
      <x:c r="K99" s="11" t="str"/>
      <x:c r="L99" s="12" t="str"/>
      <x:c r="M99" s="12" t="str"/>
      <x:c r="N99" s="11" t="n">
        <x:f>IF(F99="PENDING","",IF(F99="PASS",1,0))</x:f>
        <x:v>1</x:v>
      </x:c>
      <x:c r="O99" s="11" t="n">
        <x:f>IF(H99="PENDING","",IF(H99="PASS",1,0))</x:f>
        <x:v>1</x:v>
      </x:c>
    </x:row>
    <x:row r="100" ht="55" customHeight="1">
      <x:c r="A100" s="11" t="str">
        <x:v>t094</x:v>
      </x:c>
      <x:c r="B100" s="11" t="str">
        <x:v>Excuse me, but I was hoping to use a student discount on my order, but I didn't see it available at checkout. Can you help me out with that? My invoice number is 67890.</x:v>
      </x:c>
      <x:c r="C100" s="11" t="str">
        <x:v>other</x:v>
      </x:c>
      <x:c r="D100" s="12" t="str">
        <x:v>other</x:v>
      </x:c>
      <x:c r="E100" s="11" t="str">
        <x:v>other</x:v>
      </x:c>
      <x:c r="F100" s="11" t="str">
        <x:f>IF(D100="","PENDING",IF(E100=D100,"PASS","FAIL"))</x:f>
        <x:v>PASS</x:v>
      </x:c>
      <x:c r="G100" s="11" t="str">
        <x:v>other</x:v>
      </x:c>
      <x:c r="H100" s="11" t="str">
        <x:f>IF(D100="","PENDING",IF(G100=D100,"PASS","FAIL"))</x:f>
        <x:v>PASS</x:v>
      </x:c>
      <x:c r="I100" s="11" t="str">
        <x:f>IF(OR(F100="PENDING",H100="PENDING"),"PENDING",IF(F100="FAIL",IF(H100="PASS","WIN","STILL_FAIL"),IF(H100="FAIL","REGRESSION","STILL_PASS")))</x:f>
        <x:v>STILL_PASS</x:v>
      </x:c>
      <x:c r="J100" s="11" t="str"/>
      <x:c r="K100" s="11" t="str"/>
      <x:c r="L100" s="12" t="str"/>
      <x:c r="M100" s="12" t="str"/>
      <x:c r="N100" s="11" t="n">
        <x:f>IF(F100="PENDING","",IF(F100="PASS",1,0))</x:f>
        <x:v>1</x:v>
      </x:c>
      <x:c r="O100" s="11" t="n">
        <x:f>IF(H100="PENDING","",IF(H100="PASS",1,0))</x:f>
        <x:v>1</x:v>
      </x:c>
    </x:row>
    <x:row r="101" ht="55" customHeight="1">
      <x:c r="A101" s="11" t="str">
        <x:v>t095</x:v>
      </x:c>
      <x:c r="B101" s="11" t="str">
        <x:v>Hey, I'm trying to check out but I don't see any student discount. Do you offer that at all? My order is ABC123.</x:v>
      </x:c>
      <x:c r="C101" s="11" t="str">
        <x:v>other</x:v>
      </x:c>
      <x:c r="D101" s="12" t="str">
        <x:v>other</x:v>
      </x:c>
      <x:c r="E101" s="11" t="str">
        <x:v>other</x:v>
      </x:c>
      <x:c r="F101" s="11" t="str">
        <x:f>IF(D101="","PENDING",IF(E101=D101,"PASS","FAIL"))</x:f>
        <x:v>PASS</x:v>
      </x:c>
      <x:c r="G101" s="11" t="str">
        <x:v>other</x:v>
      </x:c>
      <x:c r="H101" s="11" t="str">
        <x:f>IF(D101="","PENDING",IF(G101=D101,"PASS","FAIL"))</x:f>
        <x:v>PASS</x:v>
      </x:c>
      <x:c r="I101" s="11" t="str">
        <x:f>IF(OR(F101="PENDING",H101="PENDING"),"PENDING",IF(F101="FAIL",IF(H101="PASS","WIN","STILL_FAIL"),IF(H101="FAIL","REGRESSION","STILL_PASS")))</x:f>
        <x:v>STILL_PASS</x:v>
      </x:c>
      <x:c r="J101" s="11" t="str"/>
      <x:c r="K101" s="11" t="str"/>
      <x:c r="L101" s="12" t="str"/>
      <x:c r="M101" s="12" t="str"/>
      <x:c r="N101" s="11" t="n">
        <x:f>IF(F101="PENDING","",IF(F101="PASS",1,0))</x:f>
        <x:v>1</x:v>
      </x:c>
      <x:c r="O101" s="11" t="n">
        <x:f>IF(H101="PENDING","",IF(H101="PASS",1,0))</x:f>
        <x:v>1</x:v>
      </x:c>
    </x:row>
    <x:row r="102" ht="55" customHeight="1">
      <x:c r="A102" s="11" t="str">
        <x:v>t096</x:v>
      </x:c>
      <x:c r="B102" s="11" t="str">
        <x:v>When's your next sale? My birthday is coming up and I'd love to splurge.</x:v>
      </x:c>
      <x:c r="C102" s="11" t="str">
        <x:v>other</x:v>
      </x:c>
      <x:c r="D102" s="12" t="str">
        <x:v>other</x:v>
      </x:c>
      <x:c r="E102" s="11" t="str">
        <x:v>other</x:v>
      </x:c>
      <x:c r="F102" s="11" t="str">
        <x:f>IF(D102="","PENDING",IF(E102=D102,"PASS","FAIL"))</x:f>
        <x:v>PASS</x:v>
      </x:c>
      <x:c r="G102" s="11" t="str">
        <x:v>other</x:v>
      </x:c>
      <x:c r="H102" s="11" t="str">
        <x:f>IF(D102="","PENDING",IF(G102=D102,"PASS","FAIL"))</x:f>
        <x:v>PASS</x:v>
      </x:c>
      <x:c r="I102" s="11" t="str">
        <x:f>IF(OR(F102="PENDING",H102="PENDING"),"PENDING",IF(F102="FAIL",IF(H102="PASS","WIN","STILL_FAIL"),IF(H102="FAIL","REGRESSION","STILL_PASS")))</x:f>
        <x:v>STILL_PASS</x:v>
      </x:c>
      <x:c r="J102" s="11" t="str"/>
      <x:c r="K102" s="11" t="str"/>
      <x:c r="L102" s="12" t="str"/>
      <x:c r="M102" s="12" t="str"/>
      <x:c r="N102" s="11" t="n">
        <x:f>IF(F102="PENDING","",IF(F102="PASS",1,0))</x:f>
        <x:v>1</x:v>
      </x:c>
      <x:c r="O102" s="11" t="n">
        <x:f>IF(H102="PENDING","",IF(H102="PASS",1,0))</x:f>
        <x:v>1</x:v>
      </x:c>
    </x:row>
    <x:row r="103" ht="55" customHeight="1">
      <x:c r="A103" s="11" t="str">
        <x:v>t097</x:v>
      </x:c>
      <x:c r="B103" s="11" t="str">
        <x:v>Could you please tell me when your next sale is? My birthday is approaching, and I would really like to treat myself.</x:v>
      </x:c>
      <x:c r="C103" s="11" t="str">
        <x:v>other</x:v>
      </x:c>
      <x:c r="D103" s="12" t="str">
        <x:v>other</x:v>
      </x:c>
      <x:c r="E103" s="11" t="str">
        <x:v>other</x:v>
      </x:c>
      <x:c r="F103" s="11" t="str">
        <x:f>IF(D103="","PENDING",IF(E103=D103,"PASS","FAIL"))</x:f>
        <x:v>PASS</x:v>
      </x:c>
      <x:c r="G103" s="11" t="str">
        <x:v>other</x:v>
      </x:c>
      <x:c r="H103" s="11" t="str">
        <x:f>IF(D103="","PENDING",IF(G103=D103,"PASS","FAIL"))</x:f>
        <x:v>PASS</x:v>
      </x:c>
      <x:c r="I103" s="11" t="str">
        <x:f>IF(OR(F103="PENDING",H103="PENDING"),"PENDING",IF(F103="FAIL",IF(H103="PASS","WIN","STILL_FAIL"),IF(H103="FAIL","REGRESSION","STILL_PASS")))</x:f>
        <x:v>STILL_PASS</x:v>
      </x:c>
      <x:c r="J103" s="11" t="str"/>
      <x:c r="K103" s="11" t="str"/>
      <x:c r="L103" s="12" t="str"/>
      <x:c r="M103" s="12" t="str"/>
      <x:c r="N103" s="11" t="n">
        <x:f>IF(F103="PENDING","",IF(F103="PASS",1,0))</x:f>
        <x:v>1</x:v>
      </x:c>
      <x:c r="O103" s="11" t="n">
        <x:f>IF(H103="PENDING","",IF(H103="PASS",1,0))</x:f>
        <x:v>1</x:v>
      </x:c>
    </x:row>
    <x:row r="104" ht="55" customHeight="1">
      <x:c r="A104" s="11" t="str">
        <x:v>t098</x:v>
      </x:c>
      <x:c r="B104" s="11" t="str">
        <x:v>I am curious about your upcoming sale dates. My birthday is around the corner, and I want to indulge a bit!</x:v>
      </x:c>
      <x:c r="C104" s="11" t="str">
        <x:v>other</x:v>
      </x:c>
      <x:c r="D104" s="12" t="str">
        <x:v>other</x:v>
      </x:c>
      <x:c r="E104" s="11" t="str">
        <x:v>other</x:v>
      </x:c>
      <x:c r="F104" s="11" t="str">
        <x:f>IF(D104="","PENDING",IF(E104=D104,"PASS","FAIL"))</x:f>
        <x:v>PASS</x:v>
      </x:c>
      <x:c r="G104" s="11" t="str">
        <x:v>other</x:v>
      </x:c>
      <x:c r="H104" s="11" t="str">
        <x:f>IF(D104="","PENDING",IF(G104=D104,"PASS","FAIL"))</x:f>
        <x:v>PASS</x:v>
      </x:c>
      <x:c r="I104" s="11" t="str">
        <x:f>IF(OR(F104="PENDING",H104="PENDING"),"PENDING",IF(F104="FAIL",IF(H104="PASS","WIN","STILL_FAIL"),IF(H104="FAIL","REGRESSION","STILL_PASS")))</x:f>
        <x:v>STILL_PASS</x:v>
      </x:c>
      <x:c r="J104" s="11" t="str"/>
      <x:c r="K104" s="11" t="str"/>
      <x:c r="L104" s="12" t="str"/>
      <x:c r="M104" s="12" t="str"/>
      <x:c r="N104" s="11" t="n">
        <x:f>IF(F104="PENDING","",IF(F104="PASS",1,0))</x:f>
        <x:v>1</x:v>
      </x:c>
      <x:c r="O104" s="11" t="n">
        <x:f>IF(H104="PENDING","",IF(H104="PASS",1,0))</x:f>
        <x:v>1</x:v>
      </x:c>
    </x:row>
    <x:row r="105" ht="55" customHeight="1">
      <x:c r="A105" s="11" t="str">
        <x:v>t099</x:v>
      </x:c>
      <x:c r="B105" s="11" t="str">
        <x:v>Hey, any idea when you’re having your next sale? My birthday is soon, and I'm eager to go all out on some shopping.</x:v>
      </x:c>
      <x:c r="C105" s="11" t="str">
        <x:v>other</x:v>
      </x:c>
      <x:c r="D105" s="12" t="str">
        <x:v>other</x:v>
      </x:c>
      <x:c r="E105" s="11" t="str">
        <x:v>other</x:v>
      </x:c>
      <x:c r="F105" s="11" t="str">
        <x:f>IF(D105="","PENDING",IF(E105=D105,"PASS","FAIL"))</x:f>
        <x:v>PASS</x:v>
      </x:c>
      <x:c r="G105" s="11" t="str">
        <x:v>other</x:v>
      </x:c>
      <x:c r="H105" s="11" t="str">
        <x:f>IF(D105="","PENDING",IF(G105=D105,"PASS","FAIL"))</x:f>
        <x:v>PASS</x:v>
      </x:c>
      <x:c r="I105" s="11" t="str">
        <x:f>IF(OR(F105="PENDING",H105="PENDING"),"PENDING",IF(F105="FAIL",IF(H105="PASS","WIN","STILL_FAIL"),IF(H105="FAIL","REGRESSION","STILL_PASS")))</x:f>
        <x:v>STILL_PASS</x:v>
      </x:c>
      <x:c r="J105" s="11" t="str"/>
      <x:c r="K105" s="11" t="str"/>
      <x:c r="L105" s="12" t="str"/>
      <x:c r="M105" s="12" t="str"/>
      <x:c r="N105" s="11" t="n">
        <x:f>IF(F105="PENDING","",IF(F105="PASS",1,0))</x:f>
        <x:v>1</x:v>
      </x:c>
      <x:c r="O105" s="11" t="n">
        <x:f>IF(H105="PENDING","",IF(H105="PASS",1,0))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4d0e4765e348c2"/>
  </x:tableParts>
</x:worksheet>
</file>